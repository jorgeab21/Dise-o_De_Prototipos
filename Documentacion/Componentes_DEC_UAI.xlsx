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onentes" sheetId="1" state="visible" r:id="rId1"/>
    <sheet xmlns:r="http://schemas.openxmlformats.org/officeDocument/2006/relationships" name="Resumen por famil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4" fillId="0" borderId="1" pivotButton="0" quotePrefix="0" xfId="0"/>
    <xf numFmtId="164" fontId="4" fillId="0" borderId="1" pivotButton="0" quotePrefix="0" xfId="0"/>
    <xf numFmtId="0" fontId="5" fillId="3" borderId="1" pivotButton="0" quotePrefix="0" xfId="0"/>
    <xf numFmtId="164" fontId="5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aComponentes" displayName="TablaComponentes" ref="A4:F213" headerRowCount="1">
  <autoFilter ref="A4:F213"/>
  <tableColumns count="6">
    <tableColumn id="1" name="N°"/>
    <tableColumn id="2" name="ID Sitio"/>
    <tableColumn id="3" name="Familia"/>
    <tableColumn id="4" name="Modelo"/>
    <tableColumn id="5" name="Función"/>
    <tableColumn id="6" name="Especificacion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16" customWidth="1" min="3" max="3"/>
    <col width="34" customWidth="1" min="4" max="4"/>
    <col width="46" customWidth="1" min="5" max="5"/>
    <col width="46" customWidth="1" min="6" max="6"/>
  </cols>
  <sheetData>
    <row r="1">
      <c r="A1" s="1" t="inlineStr">
        <is>
          <t>Catálogo de Componentes — Design Engineering Center (DEC) UAI</t>
        </is>
      </c>
    </row>
    <row r="2">
      <c r="A2" s="2" t="inlineStr">
        <is>
          <t>Fuente: https://dec.uai.cl/componentes/  ·  Extraído el 2026-09-25  ·  209 componentes</t>
        </is>
      </c>
    </row>
    <row r="4">
      <c r="A4" s="3" t="inlineStr">
        <is>
          <t>N°</t>
        </is>
      </c>
      <c r="B4" s="3" t="inlineStr">
        <is>
          <t>ID Sitio</t>
        </is>
      </c>
      <c r="C4" s="3" t="inlineStr">
        <is>
          <t>Familia</t>
        </is>
      </c>
      <c r="D4" s="3" t="inlineStr">
        <is>
          <t>Modelo</t>
        </is>
      </c>
      <c r="E4" s="3" t="inlineStr">
        <is>
          <t>Función</t>
        </is>
      </c>
      <c r="F4" s="3" t="inlineStr">
        <is>
          <t>Especificaciones</t>
        </is>
      </c>
    </row>
    <row r="5">
      <c r="A5" s="4">
        <f>ROW()-4</f>
        <v/>
      </c>
      <c r="B5" s="4" t="inlineStr">
        <is>
          <t>417</t>
        </is>
      </c>
      <c r="C5" s="4" t="inlineStr">
        <is>
          <t>Baterías</t>
        </is>
      </c>
      <c r="D5" s="5" t="inlineStr">
        <is>
          <t>BRC 18650 battery 6800mah 3.7V Li-ion</t>
        </is>
      </c>
      <c r="E5" s="5" t="inlineStr">
        <is>
          <t>Baterías recargables de ion de litio (Li-ion)</t>
        </is>
      </c>
      <c r="F5" s="5" t="inlineStr">
        <is>
          <t>Voltaje nominal 3.7 V. Capacidad 6800 mAh</t>
        </is>
      </c>
    </row>
    <row r="6">
      <c r="A6" s="4">
        <f>ROW()-4</f>
        <v/>
      </c>
      <c r="B6" s="4" t="inlineStr">
        <is>
          <t>417</t>
        </is>
      </c>
      <c r="C6" s="4" t="inlineStr">
        <is>
          <t>Baterías</t>
        </is>
      </c>
      <c r="D6" s="5" t="inlineStr">
        <is>
          <t>NCR 18650B Li-ion</t>
        </is>
      </c>
      <c r="E6" s="5" t="inlineStr">
        <is>
          <t>Baterías recargables de ion de litio (Li-ion)</t>
        </is>
      </c>
      <c r="F6" s="5" t="inlineStr">
        <is>
          <t>Voltaje nominal 3.6–3.7 V</t>
        </is>
      </c>
    </row>
    <row r="7">
      <c r="A7" s="4">
        <f>ROW()-4</f>
        <v/>
      </c>
      <c r="B7" s="4" t="inlineStr">
        <is>
          <t>418</t>
        </is>
      </c>
      <c r="C7" s="4" t="inlineStr">
        <is>
          <t>Módulo</t>
        </is>
      </c>
      <c r="D7" s="5" t="inlineStr">
        <is>
          <t>XL6009</t>
        </is>
      </c>
      <c r="E7" s="5" t="inlineStr">
        <is>
          <t>Regulador de voltaje</t>
        </is>
      </c>
      <c r="F7" s="5" t="inlineStr">
        <is>
          <t>Voltaje de entrada 3–32 V. Voltaje de salida hasta 35 V</t>
        </is>
      </c>
    </row>
    <row r="8">
      <c r="A8" s="4">
        <f>ROW()-4</f>
        <v/>
      </c>
      <c r="B8" s="4" t="inlineStr">
        <is>
          <t>422</t>
        </is>
      </c>
      <c r="C8" s="4" t="inlineStr">
        <is>
          <t>Módulo</t>
        </is>
      </c>
      <c r="D8" s="5" t="inlineStr">
        <is>
          <t>HX-2S-A2</t>
        </is>
      </c>
      <c r="E8" s="5" t="inlineStr">
        <is>
          <t>Cargador BMS 18650 2S 5A</t>
        </is>
      </c>
      <c r="F8" s="5" t="inlineStr">
        <is>
          <t>BMS para baterías Li-ion 2S. Corriente máxima 5 A. Voltaje de carga 8.4 V</t>
        </is>
      </c>
    </row>
    <row r="9">
      <c r="A9" s="4">
        <f>ROW()-4</f>
        <v/>
      </c>
      <c r="B9" s="4" t="inlineStr">
        <is>
          <t>648</t>
        </is>
      </c>
      <c r="C9" s="4" t="inlineStr">
        <is>
          <t>Sensores</t>
        </is>
      </c>
      <c r="D9" s="5" t="inlineStr">
        <is>
          <t>SW-420</t>
        </is>
      </c>
      <c r="E9" s="5" t="inlineStr">
        <is>
          <t>Vibración</t>
        </is>
      </c>
      <c r="F9" s="5" t="inlineStr">
        <is>
          <t>Voltaje de operación 3.3V/5.0 V. Salida digital: Nivel alto 1 - Nivel bajo 0</t>
        </is>
      </c>
    </row>
    <row r="10">
      <c r="A10" s="4">
        <f>ROW()-4</f>
        <v/>
      </c>
      <c r="B10" s="4" t="inlineStr">
        <is>
          <t>649</t>
        </is>
      </c>
      <c r="C10" s="4" t="inlineStr">
        <is>
          <t>Sensores</t>
        </is>
      </c>
      <c r="D10" s="5" t="inlineStr">
        <is>
          <t>YG1006 IR</t>
        </is>
      </c>
      <c r="E10" s="5" t="inlineStr">
        <is>
          <t>Detectar presencia de fuego mediante radiación infrarroja</t>
        </is>
      </c>
      <c r="F10" s="5" t="inlineStr">
        <is>
          <t>Voltaje de operación 3.3 V/5.0 V. Temperatura de trabajo: -25°C a 85 °C</t>
        </is>
      </c>
    </row>
    <row r="11">
      <c r="A11" s="4">
        <f>ROW()-4</f>
        <v/>
      </c>
      <c r="B11" s="4" t="inlineStr">
        <is>
          <t>650</t>
        </is>
      </c>
      <c r="C11" s="4" t="inlineStr">
        <is>
          <t>Sensores</t>
        </is>
      </c>
      <c r="D11" s="5" t="inlineStr">
        <is>
          <t>RFID-RC522</t>
        </is>
      </c>
      <c r="E11" s="5" t="inlineStr">
        <is>
          <t>Lectura/escritura RFID</t>
        </is>
      </c>
      <c r="F11" s="5" t="inlineStr">
        <is>
          <t>Voltaje de operación 3.3 V. Distancia de lectura: 0 a 60mm.</t>
        </is>
      </c>
    </row>
    <row r="12">
      <c r="A12" s="4">
        <f>ROW()-4</f>
        <v/>
      </c>
      <c r="B12" s="4" t="inlineStr">
        <is>
          <t>651</t>
        </is>
      </c>
      <c r="C12" s="4" t="inlineStr">
        <is>
          <t>Sensores</t>
        </is>
      </c>
      <c r="D12" s="5" t="inlineStr">
        <is>
          <t>AM2302 (DHT22)</t>
        </is>
      </c>
      <c r="E12" s="5" t="inlineStr">
        <is>
          <t>Humedad y temperatura</t>
        </is>
      </c>
      <c r="F12" s="5" t="inlineStr">
        <is>
          <t>Voltaje 3.3 V/6.0 V. Rango temp: -40°C a 80°C. Rango humedad: 0 a 100% RH</t>
        </is>
      </c>
    </row>
    <row r="13">
      <c r="A13" s="4">
        <f>ROW()-4</f>
        <v/>
      </c>
      <c r="B13" s="4" t="inlineStr">
        <is>
          <t>652</t>
        </is>
      </c>
      <c r="C13" s="4" t="inlineStr">
        <is>
          <t>Sensores</t>
        </is>
      </c>
      <c r="D13" s="5" t="inlineStr">
        <is>
          <t>Fd10 (Fz0506)</t>
        </is>
      </c>
      <c r="E13" s="5" t="inlineStr">
        <is>
          <t>Nivel de agua</t>
        </is>
      </c>
      <c r="F13" s="5" t="inlineStr">
        <is>
          <t>Voltaje 3.3 V/5.0 V. Temperatura de trabajo : -30°C a 10°C. Análogo</t>
        </is>
      </c>
    </row>
    <row r="14">
      <c r="A14" s="4">
        <f>ROW()-4</f>
        <v/>
      </c>
      <c r="B14" s="4" t="inlineStr">
        <is>
          <t>653</t>
        </is>
      </c>
      <c r="C14" s="4" t="inlineStr">
        <is>
          <t>Sensores</t>
        </is>
      </c>
      <c r="D14" s="5" t="inlineStr">
        <is>
          <t>HC-SR04 4 pines</t>
        </is>
      </c>
      <c r="E14" s="5" t="inlineStr">
        <is>
          <t>De distancia ultrasónico</t>
        </is>
      </c>
      <c r="F14" s="5" t="inlineStr">
        <is>
          <t>Voltaje 5.0 V. Ángulo del sensor: &lt;15 grados. Rango distancia: 2 a 450 cm</t>
        </is>
      </c>
    </row>
    <row r="15">
      <c r="A15" s="4">
        <f>ROW()-4</f>
        <v/>
      </c>
      <c r="B15" s="4" t="inlineStr">
        <is>
          <t>654</t>
        </is>
      </c>
      <c r="C15" s="4" t="inlineStr">
        <is>
          <t>Sensores</t>
        </is>
      </c>
      <c r="D15" s="5" t="inlineStr">
        <is>
          <t>MH-RD Raindrops module</t>
        </is>
      </c>
      <c r="E15" s="5" t="inlineStr">
        <is>
          <t>Presencia e intensidad de lluvia</t>
        </is>
      </c>
      <c r="F15" s="5" t="inlineStr">
        <is>
          <t>Voltaje 3.3 V/5.0 V. Señal análoga: Voltaje dependiente de humedad</t>
        </is>
      </c>
    </row>
    <row r="16">
      <c r="A16" s="4">
        <f>ROW()-4</f>
        <v/>
      </c>
      <c r="B16" s="4" t="inlineStr">
        <is>
          <t>655</t>
        </is>
      </c>
      <c r="C16" s="4" t="inlineStr">
        <is>
          <t>Sensores</t>
        </is>
      </c>
      <c r="D16" s="5" t="inlineStr">
        <is>
          <t>MQ-3</t>
        </is>
      </c>
      <c r="E16" s="5" t="inlineStr">
        <is>
          <t>Detector de Etanol</t>
        </is>
      </c>
      <c r="F16" s="5" t="inlineStr">
        <is>
          <t>Voltaje 5.0 V. Señal: Analógica (proporcional a la concentración)</t>
        </is>
      </c>
    </row>
    <row r="17">
      <c r="A17" s="4">
        <f>ROW()-4</f>
        <v/>
      </c>
      <c r="B17" s="4" t="inlineStr">
        <is>
          <t>656</t>
        </is>
      </c>
      <c r="C17" s="4" t="inlineStr">
        <is>
          <t>Sensores</t>
        </is>
      </c>
      <c r="D17" s="5" t="inlineStr">
        <is>
          <t>MQ-4</t>
        </is>
      </c>
      <c r="E17" s="5" t="inlineStr">
        <is>
          <t>Detector de Metano</t>
        </is>
      </c>
      <c r="F17" s="5" t="inlineStr">
        <is>
          <t>Voltaje 5.0 V. Señal: Analógica (proporcional a la concentración)</t>
        </is>
      </c>
    </row>
    <row r="18">
      <c r="A18" s="4">
        <f>ROW()-4</f>
        <v/>
      </c>
      <c r="B18" s="4" t="inlineStr">
        <is>
          <t>657</t>
        </is>
      </c>
      <c r="C18" s="4" t="inlineStr">
        <is>
          <t>Sensores</t>
        </is>
      </c>
      <c r="D18" s="5" t="inlineStr">
        <is>
          <t>MQ-5</t>
        </is>
      </c>
      <c r="E18" s="5" t="inlineStr">
        <is>
          <t>Detector de GLP y Gas natural</t>
        </is>
      </c>
      <c r="F18" s="5" t="inlineStr">
        <is>
          <t>Voltaje 5.0 V. Señal: Analógica (proporcional a la concentración)</t>
        </is>
      </c>
    </row>
    <row r="19">
      <c r="A19" s="4">
        <f>ROW()-4</f>
        <v/>
      </c>
      <c r="B19" s="4" t="inlineStr">
        <is>
          <t>658</t>
        </is>
      </c>
      <c r="C19" s="4" t="inlineStr">
        <is>
          <t>Sensores</t>
        </is>
      </c>
      <c r="D19" s="5" t="inlineStr">
        <is>
          <t>MQ-6</t>
        </is>
      </c>
      <c r="E19" s="5" t="inlineStr">
        <is>
          <t>Detector de GLP, Propano e Isobutano</t>
        </is>
      </c>
      <c r="F19" s="5" t="inlineStr">
        <is>
          <t>Voltaje 5.0 V. Señal: Analógica (proporcional a la concentración)</t>
        </is>
      </c>
    </row>
    <row r="20">
      <c r="A20" s="4">
        <f>ROW()-4</f>
        <v/>
      </c>
      <c r="B20" s="4" t="inlineStr">
        <is>
          <t>659</t>
        </is>
      </c>
      <c r="C20" s="4" t="inlineStr">
        <is>
          <t>Sensores</t>
        </is>
      </c>
      <c r="D20" s="5" t="inlineStr">
        <is>
          <t>MQ-7</t>
        </is>
      </c>
      <c r="E20" s="5" t="inlineStr">
        <is>
          <t>Detector de Monóxido de carbono</t>
        </is>
      </c>
      <c r="F20" s="5" t="inlineStr">
        <is>
          <t>Voltaje 5.0 V. Señal: Analógica (proporcional a la concentración)</t>
        </is>
      </c>
    </row>
    <row r="21">
      <c r="A21" s="4">
        <f>ROW()-4</f>
        <v/>
      </c>
      <c r="B21" s="4" t="inlineStr">
        <is>
          <t>660</t>
        </is>
      </c>
      <c r="C21" s="4" t="inlineStr">
        <is>
          <t>Sensores</t>
        </is>
      </c>
      <c r="D21" s="5" t="inlineStr">
        <is>
          <t>MQ-8</t>
        </is>
      </c>
      <c r="E21" s="5" t="inlineStr">
        <is>
          <t>Detector de Hidrógeno</t>
        </is>
      </c>
      <c r="F21" s="5" t="inlineStr">
        <is>
          <t>Voltaje 5.0 V. Señal: Analógica (proporcional a la concentración)</t>
        </is>
      </c>
    </row>
    <row r="22">
      <c r="A22" s="4">
        <f>ROW()-4</f>
        <v/>
      </c>
      <c r="B22" s="4" t="inlineStr">
        <is>
          <t>661</t>
        </is>
      </c>
      <c r="C22" s="4" t="inlineStr">
        <is>
          <t>Sensores</t>
        </is>
      </c>
      <c r="D22" s="5" t="inlineStr">
        <is>
          <t>MQ-9</t>
        </is>
      </c>
      <c r="E22" s="5" t="inlineStr">
        <is>
          <t>Detector de CO y gases combustibles</t>
        </is>
      </c>
      <c r="F22" s="5" t="inlineStr">
        <is>
          <t>Voltaje 5.0 V. Señal: Analógica (proporcional a la concentración)</t>
        </is>
      </c>
    </row>
    <row r="23">
      <c r="A23" s="4">
        <f>ROW()-4</f>
        <v/>
      </c>
      <c r="B23" s="4" t="inlineStr">
        <is>
          <t>662</t>
        </is>
      </c>
      <c r="C23" s="4" t="inlineStr">
        <is>
          <t>Sensores</t>
        </is>
      </c>
      <c r="D23" s="5" t="inlineStr">
        <is>
          <t>MQ-135</t>
        </is>
      </c>
      <c r="E23" s="5" t="inlineStr">
        <is>
          <t>Detector de la calidad del aire (NH₃, NOx)</t>
        </is>
      </c>
      <c r="F23" s="5" t="inlineStr">
        <is>
          <t>Voltaje 5.0 V. Señal: Analógica (proporcional a la concentración)</t>
        </is>
      </c>
    </row>
    <row r="24">
      <c r="A24" s="4">
        <f>ROW()-4</f>
        <v/>
      </c>
      <c r="B24" s="4" t="inlineStr">
        <is>
          <t>663</t>
        </is>
      </c>
      <c r="C24" s="4" t="inlineStr">
        <is>
          <t>Sensores</t>
        </is>
      </c>
      <c r="D24" s="5" t="inlineStr">
        <is>
          <t>Pulse sensor</t>
        </is>
      </c>
      <c r="E24" s="5" t="inlineStr">
        <is>
          <t>Frecuencia cardíaca</t>
        </is>
      </c>
      <c r="F24" s="5" t="inlineStr">
        <is>
          <t>Voltaje 3.3 V/5.0 V. Circuito de cancelación de ruido integrado.</t>
        </is>
      </c>
    </row>
    <row r="25">
      <c r="A25" s="4">
        <f>ROW()-4</f>
        <v/>
      </c>
      <c r="B25" s="4" t="inlineStr">
        <is>
          <t>664</t>
        </is>
      </c>
      <c r="C25" s="4" t="inlineStr">
        <is>
          <t>Sensores</t>
        </is>
      </c>
      <c r="D25" s="5" t="inlineStr">
        <is>
          <t>Capacitivo v1.2</t>
        </is>
      </c>
      <c r="E25" s="5" t="inlineStr">
        <is>
          <t>Humedad suelo</t>
        </is>
      </c>
      <c r="F25" s="5" t="inlineStr">
        <is>
          <t>Voltaje de operación 3.3 V/5.0 V. Salida analógica</t>
        </is>
      </c>
    </row>
    <row r="26">
      <c r="A26" s="4">
        <f>ROW()-4</f>
        <v/>
      </c>
      <c r="B26" s="4" t="inlineStr">
        <is>
          <t>665</t>
        </is>
      </c>
      <c r="C26" s="4" t="inlineStr">
        <is>
          <t>Sensores</t>
        </is>
      </c>
      <c r="D26" s="5" t="inlineStr">
        <is>
          <t>KY-036</t>
        </is>
      </c>
      <c r="E26" s="5" t="inlineStr">
        <is>
          <t>Detección contacto físico de un dedo o un objeto metálico (cambios en la conductividad)</t>
        </is>
      </c>
      <c r="F26" s="5" t="inlineStr">
        <is>
          <t>Voltaje de operación 3.3 V/5.0 V. Salida analógica y digital</t>
        </is>
      </c>
    </row>
    <row r="27">
      <c r="A27" s="4">
        <f>ROW()-4</f>
        <v/>
      </c>
      <c r="B27" s="4" t="inlineStr">
        <is>
          <t>666</t>
        </is>
      </c>
      <c r="C27" s="4" t="inlineStr">
        <is>
          <t>Sensores</t>
        </is>
      </c>
      <c r="D27" s="5" t="inlineStr">
        <is>
          <t>KY-026</t>
        </is>
      </c>
      <c r="E27" s="5" t="inlineStr">
        <is>
          <t>Sensor infrarrojo de flama</t>
        </is>
      </c>
      <c r="F27" s="5" t="inlineStr">
        <is>
          <t>Voltaje de operación 3.3 V/5.0 V. Rango espectral 760–1100 nm</t>
        </is>
      </c>
    </row>
    <row r="28">
      <c r="A28" s="4">
        <f>ROW()-4</f>
        <v/>
      </c>
      <c r="B28" s="4" t="inlineStr">
        <is>
          <t>667</t>
        </is>
      </c>
      <c r="C28" s="4" t="inlineStr">
        <is>
          <t>Sensores</t>
        </is>
      </c>
      <c r="D28" s="5" t="inlineStr">
        <is>
          <t>MX-RM-5V</t>
        </is>
      </c>
      <c r="E28" s="5" t="inlineStr">
        <is>
          <t>Receptor de radiofrecuencia (RF)</t>
        </is>
      </c>
      <c r="F28" s="5" t="inlineStr">
        <is>
          <t>Voltaje de operación 5.0 V. Frecuencia 433 MHz</t>
        </is>
      </c>
    </row>
    <row r="29">
      <c r="A29" s="4">
        <f>ROW()-4</f>
        <v/>
      </c>
      <c r="B29" s="4" t="inlineStr">
        <is>
          <t>668</t>
        </is>
      </c>
      <c r="C29" s="4" t="inlineStr">
        <is>
          <t>Sensores</t>
        </is>
      </c>
      <c r="D29" s="5" t="inlineStr">
        <is>
          <t>KY-001</t>
        </is>
      </c>
      <c r="E29" s="5" t="inlineStr">
        <is>
          <t>Medición de temperatura</t>
        </is>
      </c>
      <c r="F29" s="5" t="inlineStr">
        <is>
          <t>Voltaje de operación 3.0–5.5 V. Comunicación 1-Wire</t>
        </is>
      </c>
    </row>
    <row r="30">
      <c r="A30" s="4">
        <f>ROW()-4</f>
        <v/>
      </c>
      <c r="B30" s="4" t="inlineStr">
        <is>
          <t>669</t>
        </is>
      </c>
      <c r="C30" s="4" t="inlineStr">
        <is>
          <t>Sensores</t>
        </is>
      </c>
      <c r="D30" s="5" t="inlineStr">
        <is>
          <t>GY-530 VL53L0X</t>
        </is>
      </c>
      <c r="E30" s="5" t="inlineStr">
        <is>
          <t>Sensor de rango láser de alta precisión basado en la tecnología Time-of-Flight (ToF)</t>
        </is>
      </c>
      <c r="F30" s="5" t="inlineStr">
        <is>
          <t>Voltaje de operación 2.6–5.5 V. Rango 30–2000 mm</t>
        </is>
      </c>
    </row>
    <row r="31">
      <c r="A31" s="4">
        <f>ROW()-4</f>
        <v/>
      </c>
      <c r="B31" s="4" t="inlineStr">
        <is>
          <t>670</t>
        </is>
      </c>
      <c r="C31" s="4" t="inlineStr">
        <is>
          <t>Sensores</t>
        </is>
      </c>
      <c r="D31" s="5" t="inlineStr">
        <is>
          <t>KY-032</t>
        </is>
      </c>
      <c r="E31" s="5" t="inlineStr">
        <is>
          <t>Infrarrojo de evitación de obstáculos</t>
        </is>
      </c>
      <c r="F31" s="5" t="inlineStr">
        <is>
          <t>Voltaje de operación 3.3 V/5.0 V. Salida digital</t>
        </is>
      </c>
    </row>
    <row r="32">
      <c r="A32" s="4">
        <f>ROW()-4</f>
        <v/>
      </c>
      <c r="B32" s="4" t="inlineStr">
        <is>
          <t>671</t>
        </is>
      </c>
      <c r="C32" s="4" t="inlineStr">
        <is>
          <t>Sensores</t>
        </is>
      </c>
      <c r="D32" s="5" t="inlineStr">
        <is>
          <t>DSM501A</t>
        </is>
      </c>
      <c r="E32" s="5" t="inlineStr">
        <is>
          <t>Sensor de partículas de polvo PM2.5</t>
        </is>
      </c>
      <c r="F32" s="5" t="inlineStr">
        <is>
          <t>Voltaje de operación 5.0 V. Salida PWM</t>
        </is>
      </c>
    </row>
    <row r="33">
      <c r="A33" s="4">
        <f>ROW()-4</f>
        <v/>
      </c>
      <c r="B33" s="4" t="inlineStr">
        <is>
          <t>672</t>
        </is>
      </c>
      <c r="C33" s="4" t="inlineStr">
        <is>
          <t>Sensores</t>
        </is>
      </c>
      <c r="D33" s="5" t="inlineStr">
        <is>
          <t>SN04-N</t>
        </is>
      </c>
      <c r="E33" s="5" t="inlineStr">
        <is>
          <t>Sensor de proximidad inductivo para metales</t>
        </is>
      </c>
      <c r="F33" s="5" t="inlineStr">
        <is>
          <t>Voltaje de operación 5–30 V. Salida digital NPN</t>
        </is>
      </c>
    </row>
    <row r="34">
      <c r="A34" s="4">
        <f>ROW()-4</f>
        <v/>
      </c>
      <c r="B34" s="4" t="inlineStr">
        <is>
          <t>673</t>
        </is>
      </c>
      <c r="C34" s="4" t="inlineStr">
        <is>
          <t>Sensores</t>
        </is>
      </c>
      <c r="D34" s="5" t="inlineStr">
        <is>
          <t>HM1500LF</t>
        </is>
      </c>
      <c r="E34" s="5" t="inlineStr">
        <is>
          <t>Sensor humedad de aire</t>
        </is>
      </c>
      <c r="F34" s="5" t="inlineStr">
        <is>
          <t>Voltaje de operación 5.0 V. Rango 0–100 % RH</t>
        </is>
      </c>
    </row>
    <row r="35">
      <c r="A35" s="4">
        <f>ROW()-4</f>
        <v/>
      </c>
      <c r="B35" s="4" t="inlineStr">
        <is>
          <t>674</t>
        </is>
      </c>
      <c r="C35" s="4" t="inlineStr">
        <is>
          <t>Sensores</t>
        </is>
      </c>
      <c r="D35" s="5" t="inlineStr">
        <is>
          <t>DS18B20</t>
        </is>
      </c>
      <c r="E35" s="5" t="inlineStr">
        <is>
          <t>Sensor de temperatura</t>
        </is>
      </c>
      <c r="F35" s="5" t="inlineStr">
        <is>
          <t>Voltaje de operación 3.0–5.5 V. Rango −55 °C a 125 °C</t>
        </is>
      </c>
    </row>
    <row r="36">
      <c r="A36" s="4">
        <f>ROW()-4</f>
        <v/>
      </c>
      <c r="B36" s="4" t="inlineStr">
        <is>
          <t>675</t>
        </is>
      </c>
      <c r="C36" s="4" t="inlineStr">
        <is>
          <t>Sensores</t>
        </is>
      </c>
      <c r="D36" s="5" t="inlineStr">
        <is>
          <t>LJ12A3-4-Z-BX</t>
        </is>
      </c>
      <c r="E36" s="5" t="inlineStr">
        <is>
          <t>Sensor de proximidad inductivo para metales</t>
        </is>
      </c>
      <c r="F36" s="5" t="inlineStr">
        <is>
          <t>Voltaje de operación 6–36 V. Distancia de detección 4 mm</t>
        </is>
      </c>
    </row>
    <row r="37">
      <c r="A37" s="4">
        <f>ROW()-4</f>
        <v/>
      </c>
      <c r="B37" s="4" t="inlineStr">
        <is>
          <t>676</t>
        </is>
      </c>
      <c r="C37" s="4" t="inlineStr">
        <is>
          <t>Sensores</t>
        </is>
      </c>
      <c r="D37" s="5" t="inlineStr">
        <is>
          <t>WZP-PT100</t>
        </is>
      </c>
      <c r="E37" s="5" t="inlineStr">
        <is>
          <t>Sensor de temperatura</t>
        </is>
      </c>
      <c r="F37" s="5" t="inlineStr">
        <is>
          <t>Rango −200 °C a 450 °C</t>
        </is>
      </c>
    </row>
    <row r="38">
      <c r="A38" s="4">
        <f>ROW()-4</f>
        <v/>
      </c>
      <c r="B38" s="4" t="inlineStr">
        <is>
          <t>677</t>
        </is>
      </c>
      <c r="C38" s="4" t="inlineStr">
        <is>
          <t>Sensores</t>
        </is>
      </c>
      <c r="D38" s="5" t="inlineStr">
        <is>
          <t>P35</t>
        </is>
      </c>
      <c r="E38" s="5" t="inlineStr">
        <is>
          <t>Sensor de nivel de agua tipo flotador</t>
        </is>
      </c>
      <c r="F38" s="5" t="inlineStr">
        <is>
          <t>Voltaje de operación 5.0 V. Salida analógica</t>
        </is>
      </c>
    </row>
    <row r="39">
      <c r="A39" s="4">
        <f>ROW()-4</f>
        <v/>
      </c>
      <c r="B39" s="4" t="inlineStr">
        <is>
          <t>678</t>
        </is>
      </c>
      <c r="C39" s="4" t="inlineStr">
        <is>
          <t>Sensores</t>
        </is>
      </c>
      <c r="D39" s="5" t="inlineStr">
        <is>
          <t>YL69</t>
        </is>
      </c>
      <c r="E39" s="5" t="inlineStr">
        <is>
          <t>Humedad suelo</t>
        </is>
      </c>
      <c r="F39" s="5" t="inlineStr">
        <is>
          <t>Voltaje de operación 3.3 V/5.0 V. Salida analógica</t>
        </is>
      </c>
    </row>
    <row r="40">
      <c r="A40" s="4">
        <f>ROW()-4</f>
        <v/>
      </c>
      <c r="B40" s="4" t="inlineStr">
        <is>
          <t>679</t>
        </is>
      </c>
      <c r="C40" s="4" t="inlineStr">
        <is>
          <t>Sensores</t>
        </is>
      </c>
      <c r="D40" s="5" t="inlineStr">
        <is>
          <t>KY-015 (DHT11)</t>
        </is>
      </c>
      <c r="E40" s="5" t="inlineStr">
        <is>
          <t>Humedad y temperatura</t>
        </is>
      </c>
      <c r="F40" s="5" t="inlineStr">
        <is>
          <t>Voltaje 3.3 V/5.0 V. Rango temp 0–50 °C. Humedad 20–90 % RH</t>
        </is>
      </c>
    </row>
    <row r="41">
      <c r="A41" s="4">
        <f>ROW()-4</f>
        <v/>
      </c>
      <c r="B41" s="4" t="inlineStr">
        <is>
          <t>680</t>
        </is>
      </c>
      <c r="C41" s="4" t="inlineStr">
        <is>
          <t>Sensores</t>
        </is>
      </c>
      <c r="D41" s="5" t="inlineStr">
        <is>
          <t>HC-SRO4 3 pines (seed)</t>
        </is>
      </c>
      <c r="E41" s="5" t="inlineStr">
        <is>
          <t>De distancia ultrasónico</t>
        </is>
      </c>
      <c r="F41" s="5" t="inlineStr">
        <is>
          <t>Voltaje 5.0 V. Rango 2–400 cm</t>
        </is>
      </c>
    </row>
    <row r="42">
      <c r="A42" s="4">
        <f>ROW()-4</f>
        <v/>
      </c>
      <c r="B42" s="4" t="inlineStr">
        <is>
          <t>681</t>
        </is>
      </c>
      <c r="C42" s="4" t="inlineStr">
        <is>
          <t>Sensores</t>
        </is>
      </c>
      <c r="D42" s="5" t="inlineStr">
        <is>
          <t>HC-SR501</t>
        </is>
      </c>
      <c r="E42" s="5" t="inlineStr">
        <is>
          <t>Detector de movimiento (infrarrojo pasivo)</t>
        </is>
      </c>
      <c r="F42" s="5" t="inlineStr">
        <is>
          <t>Voltaje de operación 4.5–20 V. Alcance 3–7 m</t>
        </is>
      </c>
    </row>
    <row r="43">
      <c r="A43" s="4">
        <f>ROW()-4</f>
        <v/>
      </c>
      <c r="B43" s="4" t="inlineStr">
        <is>
          <t>682</t>
        </is>
      </c>
      <c r="C43" s="4" t="inlineStr">
        <is>
          <t>Sensores</t>
        </is>
      </c>
      <c r="D43" s="5" t="inlineStr">
        <is>
          <t>MQ-2</t>
        </is>
      </c>
      <c r="E43" s="5" t="inlineStr">
        <is>
          <t>Detector de gases combustibles y humo</t>
        </is>
      </c>
      <c r="F43" s="5" t="inlineStr">
        <is>
          <t>Voltaje de operación 5.0 V. Tiempo de precalentamiento ≥ 20 s</t>
        </is>
      </c>
    </row>
    <row r="44">
      <c r="A44" s="4">
        <f>ROW()-4</f>
        <v/>
      </c>
      <c r="B44" s="4" t="inlineStr">
        <is>
          <t>683</t>
        </is>
      </c>
      <c r="C44" s="4" t="inlineStr">
        <is>
          <t>Sensores</t>
        </is>
      </c>
      <c r="D44" s="5" t="inlineStr">
        <is>
          <t>Fotorresistencia (LDR) y LM393</t>
        </is>
      </c>
      <c r="E44" s="5" t="inlineStr">
        <is>
          <t>Luz con Fotorresistencia (LDR)</t>
        </is>
      </c>
      <c r="F44" s="5" t="inlineStr">
        <is>
          <t>Voltaje de operación 3.3 V/5.0 V. Salida analógica y digital</t>
        </is>
      </c>
    </row>
    <row r="45">
      <c r="A45" s="4">
        <f>ROW()-4</f>
        <v/>
      </c>
      <c r="B45" s="4" t="inlineStr">
        <is>
          <t>684</t>
        </is>
      </c>
      <c r="C45" s="4" t="inlineStr">
        <is>
          <t>Sensores</t>
        </is>
      </c>
      <c r="D45" s="5" t="inlineStr">
        <is>
          <t>KY-038</t>
        </is>
      </c>
      <c r="E45" s="5" t="inlineStr">
        <is>
          <t>Sensor de sonido de alta sensibilidad</t>
        </is>
      </c>
      <c r="F45" s="5" t="inlineStr">
        <is>
          <t>Voltaje de operación 3.3 V/5.0 V. Salida analógica y digital</t>
        </is>
      </c>
    </row>
    <row r="46">
      <c r="A46" s="4">
        <f>ROW()-4</f>
        <v/>
      </c>
      <c r="B46" s="4" t="inlineStr">
        <is>
          <t>685</t>
        </is>
      </c>
      <c r="C46" s="4" t="inlineStr">
        <is>
          <t>Sensores</t>
        </is>
      </c>
      <c r="D46" s="5" t="inlineStr">
        <is>
          <t>KY-037</t>
        </is>
      </c>
      <c r="E46" s="5" t="inlineStr">
        <is>
          <t>Sensor de sonido de baja sensibilidad</t>
        </is>
      </c>
      <c r="F46" s="5" t="inlineStr">
        <is>
          <t>Voltaje de operación 3.3 V/5.0 V. Salida analógica y digital</t>
        </is>
      </c>
    </row>
    <row r="47">
      <c r="A47" s="4">
        <f>ROW()-4</f>
        <v/>
      </c>
      <c r="B47" s="4" t="inlineStr">
        <is>
          <t>686</t>
        </is>
      </c>
      <c r="C47" s="4" t="inlineStr">
        <is>
          <t>Sensores</t>
        </is>
      </c>
      <c r="D47" s="5" t="inlineStr">
        <is>
          <t>KY-028</t>
        </is>
      </c>
      <c r="E47" s="5" t="inlineStr">
        <is>
          <t>Sensor de temperatura digital</t>
        </is>
      </c>
      <c r="F47" s="5" t="inlineStr">
        <is>
          <t>Voltaje de operación 3.3 V/5.0 V. Salida analógica y digital</t>
        </is>
      </c>
    </row>
    <row r="48">
      <c r="A48" s="4">
        <f>ROW()-4</f>
        <v/>
      </c>
      <c r="B48" s="4" t="inlineStr">
        <is>
          <t>687</t>
        </is>
      </c>
      <c r="C48" s="4" t="inlineStr">
        <is>
          <t>Sensores</t>
        </is>
      </c>
      <c r="D48" s="5" t="inlineStr">
        <is>
          <t>SEN-12642</t>
        </is>
      </c>
      <c r="E48" s="5" t="inlineStr">
        <is>
          <t>Detector de sonido SparkFun</t>
        </is>
      </c>
      <c r="F48" s="5" t="inlineStr">
        <is>
          <t>Voltaje de operación 3.3 V/5.0 V. Comunicación digital</t>
        </is>
      </c>
    </row>
    <row r="49">
      <c r="A49" s="4">
        <f>ROW()-4</f>
        <v/>
      </c>
      <c r="B49" s="4" t="inlineStr">
        <is>
          <t>688</t>
        </is>
      </c>
      <c r="C49" s="4" t="inlineStr">
        <is>
          <t>Sensores</t>
        </is>
      </c>
      <c r="D49" s="5" t="inlineStr">
        <is>
          <t>MH-B</t>
        </is>
      </c>
      <c r="E49" s="5" t="inlineStr">
        <is>
          <t>Infrarrojo de evitación de obstáculos</t>
        </is>
      </c>
      <c r="F49" s="5" t="inlineStr">
        <is>
          <t>Voltaje de operación 5.0 V</t>
        </is>
      </c>
    </row>
    <row r="50">
      <c r="A50" s="4">
        <f>ROW()-4</f>
        <v/>
      </c>
      <c r="B50" s="4" t="inlineStr">
        <is>
          <t>689</t>
        </is>
      </c>
      <c r="C50" s="4" t="inlineStr">
        <is>
          <t>Sensores</t>
        </is>
      </c>
      <c r="D50" s="5" t="inlineStr">
        <is>
          <t>KY-039</t>
        </is>
      </c>
      <c r="E50" s="5" t="inlineStr">
        <is>
          <t>Detectar ritmo cardiáco a través del dedo</t>
        </is>
      </c>
      <c r="F50" s="5" t="inlineStr">
        <is>
          <t>Voltaje de operación 3.3 V/5.0 V. Salida analógica</t>
        </is>
      </c>
    </row>
    <row r="51">
      <c r="A51" s="4">
        <f>ROW()-4</f>
        <v/>
      </c>
      <c r="B51" s="4" t="inlineStr">
        <is>
          <t>690</t>
        </is>
      </c>
      <c r="C51" s="4" t="inlineStr">
        <is>
          <t>Sensores</t>
        </is>
      </c>
      <c r="D51" s="5" t="inlineStr">
        <is>
          <t>KY-033</t>
        </is>
      </c>
      <c r="E51" s="5" t="inlineStr">
        <is>
          <t>Seguidor de línea infrarrojo</t>
        </is>
      </c>
      <c r="F51" s="5" t="inlineStr">
        <is>
          <t>Voltaje de operación 3.3 V/5.0 V. Salida analógica</t>
        </is>
      </c>
    </row>
    <row r="52">
      <c r="A52" s="4">
        <f>ROW()-4</f>
        <v/>
      </c>
      <c r="B52" s="4" t="inlineStr">
        <is>
          <t>691</t>
        </is>
      </c>
      <c r="C52" s="4" t="inlineStr">
        <is>
          <t>Sensores</t>
        </is>
      </c>
      <c r="D52" s="5" t="inlineStr">
        <is>
          <t>KY-002</t>
        </is>
      </c>
      <c r="E52" s="5" t="inlineStr">
        <is>
          <t>Vibración e impacto</t>
        </is>
      </c>
      <c r="F52" s="5" t="inlineStr">
        <is>
          <t>Voltaje de operación 3.3 V/5.0 V. Salida digital</t>
        </is>
      </c>
    </row>
    <row r="53">
      <c r="A53" s="4">
        <f>ROW()-4</f>
        <v/>
      </c>
      <c r="B53" s="4" t="inlineStr">
        <is>
          <t>692</t>
        </is>
      </c>
      <c r="C53" s="4" t="inlineStr">
        <is>
          <t>Sensores</t>
        </is>
      </c>
      <c r="D53" s="5" t="inlineStr">
        <is>
          <t>KY-013</t>
        </is>
      </c>
      <c r="E53" s="5" t="inlineStr">
        <is>
          <t>Sensor de temperatura analogo para medir temperatura ambiente</t>
        </is>
      </c>
      <c r="F53" s="5" t="inlineStr">
        <is>
          <t>Voltaje de operación 3.3 V/5.0 V. Salida digital</t>
        </is>
      </c>
    </row>
    <row r="54">
      <c r="A54" s="4">
        <f>ROW()-4</f>
        <v/>
      </c>
      <c r="B54" s="4" t="inlineStr">
        <is>
          <t>693</t>
        </is>
      </c>
      <c r="C54" s="4" t="inlineStr">
        <is>
          <t>Sensores</t>
        </is>
      </c>
      <c r="D54" s="5" t="inlineStr">
        <is>
          <t>SW-520D</t>
        </is>
      </c>
      <c r="E54" s="5" t="inlineStr">
        <is>
          <t>Detección de inclinación o vibraciones</t>
        </is>
      </c>
      <c r="F54" s="5" t="inlineStr">
        <is>
          <t>Voltaje de operación 3.3 V/5.0 V. Salida digital</t>
        </is>
      </c>
    </row>
    <row r="55">
      <c r="A55" s="4">
        <f>ROW()-4</f>
        <v/>
      </c>
      <c r="B55" s="4" t="inlineStr">
        <is>
          <t>694</t>
        </is>
      </c>
      <c r="C55" s="4" t="inlineStr">
        <is>
          <t>Sensores</t>
        </is>
      </c>
      <c r="D55" s="5" t="inlineStr">
        <is>
          <t>KY-020</t>
        </is>
      </c>
      <c r="E55" s="5" t="inlineStr">
        <is>
          <t>Detección de inclinación (cierra el circuíto al inclinarse)</t>
        </is>
      </c>
      <c r="F55" s="5" t="inlineStr">
        <is>
          <t>Voltaje de operación 3.3 V/5.0 V. Salida digital</t>
        </is>
      </c>
    </row>
    <row r="56">
      <c r="A56" s="4">
        <f>ROW()-4</f>
        <v/>
      </c>
      <c r="B56" s="4" t="inlineStr">
        <is>
          <t>695</t>
        </is>
      </c>
      <c r="C56" s="4" t="inlineStr">
        <is>
          <t>Sensores</t>
        </is>
      </c>
      <c r="D56" s="5" t="inlineStr">
        <is>
          <t>KY-010</t>
        </is>
      </c>
      <c r="E56" s="5" t="inlineStr">
        <is>
          <t>Interruptor de luz (Fotointerruptor)</t>
        </is>
      </c>
      <c r="F56" s="5" t="inlineStr">
        <is>
          <t>Voltaje de operación 3.3 V/5.0 V. Salida digital</t>
        </is>
      </c>
    </row>
    <row r="57">
      <c r="A57" s="4">
        <f>ROW()-4</f>
        <v/>
      </c>
      <c r="B57" s="4" t="inlineStr">
        <is>
          <t>696</t>
        </is>
      </c>
      <c r="C57" s="4" t="inlineStr">
        <is>
          <t>Sensores</t>
        </is>
      </c>
      <c r="D57" s="5" t="inlineStr">
        <is>
          <t>KY-031</t>
        </is>
      </c>
      <c r="E57" s="5" t="inlineStr">
        <is>
          <t>Impacto, golpe o percusión</t>
        </is>
      </c>
      <c r="F57" s="5" t="inlineStr">
        <is>
          <t>Voltaje de operación 3.3 V/5.0 V. Salida analógica y digital</t>
        </is>
      </c>
    </row>
    <row r="58">
      <c r="A58" s="4">
        <f>ROW()-4</f>
        <v/>
      </c>
      <c r="B58" s="4" t="inlineStr">
        <is>
          <t>697</t>
        </is>
      </c>
      <c r="C58" s="4" t="inlineStr">
        <is>
          <t>Sensores</t>
        </is>
      </c>
      <c r="D58" s="5" t="inlineStr">
        <is>
          <t>KY-022</t>
        </is>
      </c>
      <c r="E58" s="5" t="inlineStr">
        <is>
          <t>Receptor de infrarrojos</t>
        </is>
      </c>
      <c r="F58" s="5" t="inlineStr">
        <is>
          <t>Voltaje de operación 3.3 V/5.0 V. Frecuencia 38 kHz</t>
        </is>
      </c>
    </row>
    <row r="59">
      <c r="A59" s="4">
        <f>ROW()-4</f>
        <v/>
      </c>
      <c r="B59" s="4" t="inlineStr">
        <is>
          <t>698</t>
        </is>
      </c>
      <c r="C59" s="4" t="inlineStr">
        <is>
          <t>Sensores</t>
        </is>
      </c>
      <c r="D59" s="5" t="inlineStr">
        <is>
          <t>KY-018</t>
        </is>
      </c>
      <c r="E59" s="5" t="inlineStr">
        <is>
          <t>Fotorresistor (detecta presencia o ausencia de luz)</t>
        </is>
      </c>
      <c r="F59" s="5" t="inlineStr">
        <is>
          <t>Voltaje de operación 3.3 V/5.0 V. Resistencia variable</t>
        </is>
      </c>
    </row>
    <row r="60">
      <c r="A60" s="4">
        <f>ROW()-4</f>
        <v/>
      </c>
      <c r="B60" s="4" t="inlineStr">
        <is>
          <t>699</t>
        </is>
      </c>
      <c r="C60" s="4" t="inlineStr">
        <is>
          <t>Sensores</t>
        </is>
      </c>
      <c r="D60" s="5" t="inlineStr">
        <is>
          <t>GP2Y0A02YK0F</t>
        </is>
      </c>
      <c r="E60" s="5" t="inlineStr">
        <is>
          <t>Sensor de proximidad</t>
        </is>
      </c>
      <c r="F60" s="5" t="inlineStr">
        <is>
          <t>Voltaje de operación 4.5–5.5 V. Rango 20–150 cm</t>
        </is>
      </c>
    </row>
    <row r="61">
      <c r="A61" s="4">
        <f>ROW()-4</f>
        <v/>
      </c>
      <c r="B61" s="4" t="inlineStr">
        <is>
          <t>700</t>
        </is>
      </c>
      <c r="C61" s="4" t="inlineStr">
        <is>
          <t>Sensores</t>
        </is>
      </c>
      <c r="D61" s="5" t="inlineStr">
        <is>
          <t>YF-S201</t>
        </is>
      </c>
      <c r="E61" s="5" t="inlineStr">
        <is>
          <t>Flujo de agua con efecto Hall</t>
        </is>
      </c>
      <c r="F61" s="5" t="inlineStr">
        <is>
          <t>Voltaje de operación 5–18 V. Rango de flujo 1–30 L/min</t>
        </is>
      </c>
    </row>
    <row r="62">
      <c r="A62" s="4">
        <f>ROW()-4</f>
        <v/>
      </c>
      <c r="B62" s="4" t="inlineStr">
        <is>
          <t>701</t>
        </is>
      </c>
      <c r="C62" s="4" t="inlineStr">
        <is>
          <t>Sensores</t>
        </is>
      </c>
      <c r="D62" s="5" t="inlineStr">
        <is>
          <t>Piezoeléctrico</t>
        </is>
      </c>
      <c r="E62" s="5" t="inlineStr">
        <is>
          <t>Convierte vibraciones, golpes o presión mecánica en señales eléctricas</t>
        </is>
      </c>
      <c r="F62" s="5" t="inlineStr">
        <is>
          <t>Voltaje de operación 1–12 V. Frecuencia resonante 4.6 kHz ±0.5 kHz</t>
        </is>
      </c>
    </row>
    <row r="63">
      <c r="A63" s="4">
        <f>ROW()-4</f>
        <v/>
      </c>
      <c r="B63" s="4" t="inlineStr">
        <is>
          <t>702</t>
        </is>
      </c>
      <c r="C63" s="4" t="inlineStr">
        <is>
          <t>Sensores</t>
        </is>
      </c>
      <c r="D63" s="5" t="inlineStr">
        <is>
          <t>SEN-10264</t>
        </is>
      </c>
      <c r="E63" s="5" t="inlineStr">
        <is>
          <t>Sensor de flexión</t>
        </is>
      </c>
      <c r="F63" s="5" t="inlineStr">
        <is>
          <t>Potencia 0.5 W continua (1 W pico)</t>
        </is>
      </c>
    </row>
    <row r="64">
      <c r="A64" s="4">
        <f>ROW()-4</f>
        <v/>
      </c>
      <c r="B64" s="4" t="inlineStr">
        <is>
          <t>703</t>
        </is>
      </c>
      <c r="C64" s="4" t="inlineStr">
        <is>
          <t>Módulo</t>
        </is>
      </c>
      <c r="D64" s="5" t="inlineStr">
        <is>
          <t>YL38</t>
        </is>
      </c>
      <c r="E64" s="5" t="inlineStr">
        <is>
          <t>Humedad suelo</t>
        </is>
      </c>
      <c r="F64" s="5" t="inlineStr">
        <is>
          <t>Voltaje de operación 3.3 V/5.0 V. Salida analógica</t>
        </is>
      </c>
    </row>
    <row r="65">
      <c r="A65" s="4">
        <f>ROW()-4</f>
        <v/>
      </c>
      <c r="B65" s="4" t="inlineStr">
        <is>
          <t>704</t>
        </is>
      </c>
      <c r="C65" s="4" t="inlineStr">
        <is>
          <t>Módulo</t>
        </is>
      </c>
      <c r="D65" s="5" t="inlineStr">
        <is>
          <t>SRD-05VDC-SL-C</t>
        </is>
      </c>
      <c r="E65" s="5" t="inlineStr">
        <is>
          <t>Relé (relay) de 1 canal de 5V</t>
        </is>
      </c>
      <c r="F65" s="5" t="inlineStr">
        <is>
          <t>Voltaje de bobina 5.0 V. Corriente nominal 10 A</t>
        </is>
      </c>
    </row>
    <row r="66">
      <c r="A66" s="4">
        <f>ROW()-4</f>
        <v/>
      </c>
      <c r="B66" s="4" t="inlineStr">
        <is>
          <t>705</t>
        </is>
      </c>
      <c r="C66" s="4" t="inlineStr">
        <is>
          <t>Módulo</t>
        </is>
      </c>
      <c r="D66" s="5" t="inlineStr">
        <is>
          <t>8x8 MAX7219</t>
        </is>
      </c>
      <c r="E66" s="5" t="inlineStr">
        <is>
          <t>Matriz puntos LED</t>
        </is>
      </c>
      <c r="F66" s="5" t="inlineStr">
        <is>
          <t>Voltaje de operación 5.0 V. Interfaz SPI</t>
        </is>
      </c>
    </row>
    <row r="67">
      <c r="A67" s="4">
        <f>ROW()-4</f>
        <v/>
      </c>
      <c r="B67" s="4" t="inlineStr">
        <is>
          <t>706</t>
        </is>
      </c>
      <c r="C67" s="4" t="inlineStr">
        <is>
          <t>Módulo</t>
        </is>
      </c>
      <c r="D67" s="5" t="inlineStr">
        <is>
          <t>Seeed Studio LiPo Rider Pro</t>
        </is>
      </c>
      <c r="E67" s="5" t="inlineStr">
        <is>
          <t>Administra energía de paneles solares</t>
        </is>
      </c>
      <c r="F67" s="5" t="inlineStr">
        <is>
          <t>Voltaje de entrada 3.7 V. Salida USB 5.0 V</t>
        </is>
      </c>
    </row>
    <row r="68">
      <c r="A68" s="4">
        <f>ROW()-4</f>
        <v/>
      </c>
      <c r="B68" s="4" t="inlineStr">
        <is>
          <t>707</t>
        </is>
      </c>
      <c r="C68" s="4" t="inlineStr">
        <is>
          <t>Módulo</t>
        </is>
      </c>
      <c r="D68" s="5" t="inlineStr">
        <is>
          <t>PAM8403</t>
        </is>
      </c>
      <c r="E68" s="5" t="inlineStr">
        <is>
          <t>Amplificador de audio digital clase D</t>
        </is>
      </c>
      <c r="F68" s="5" t="inlineStr">
        <is>
          <t>Voltaje de operación 2.5–5.5 V. Potencia 3 W ×2</t>
        </is>
      </c>
    </row>
    <row r="69">
      <c r="A69" s="4">
        <f>ROW()-4</f>
        <v/>
      </c>
      <c r="B69" s="4" t="inlineStr">
        <is>
          <t>708</t>
        </is>
      </c>
      <c r="C69" s="4" t="inlineStr">
        <is>
          <t>Módulo</t>
        </is>
      </c>
      <c r="D69" s="5" t="inlineStr">
        <is>
          <t>KY-006</t>
        </is>
      </c>
      <c r="E69" s="5" t="inlineStr">
        <is>
          <t>Zumbadores pasivos</t>
        </is>
      </c>
      <c r="F69" s="5" t="inlineStr">
        <is>
          <t>Voltaje de operación 3.3 V/5.0 V</t>
        </is>
      </c>
    </row>
    <row r="70">
      <c r="A70" s="4">
        <f>ROW()-4</f>
        <v/>
      </c>
      <c r="B70" s="4" t="inlineStr">
        <is>
          <t>709</t>
        </is>
      </c>
      <c r="C70" s="4" t="inlineStr">
        <is>
          <t>Módulo</t>
        </is>
      </c>
      <c r="D70" s="5" t="inlineStr">
        <is>
          <t>Bluethooth HC-05</t>
        </is>
      </c>
      <c r="E70" s="5" t="inlineStr">
        <is>
          <t>Conectividad Bluethooth</t>
        </is>
      </c>
      <c r="F70" s="5" t="inlineStr">
        <is>
          <t>Voltaje de operación 3.6–6.0 V. Comunicación UART</t>
        </is>
      </c>
    </row>
    <row r="71">
      <c r="A71" s="4">
        <f>ROW()-4</f>
        <v/>
      </c>
      <c r="B71" s="4" t="inlineStr">
        <is>
          <t>710</t>
        </is>
      </c>
      <c r="C71" s="4" t="inlineStr">
        <is>
          <t>Módulo</t>
        </is>
      </c>
      <c r="D71" s="5" t="inlineStr">
        <is>
          <t>MH-ET LIVE MAX30102</t>
        </is>
      </c>
      <c r="E71" s="5" t="inlineStr">
        <is>
          <t>Pulsioximetría y monitor de frecuencia cardíaca</t>
        </is>
      </c>
      <c r="F71" s="5" t="inlineStr">
        <is>
          <t>Voltaje de operación 1.8 V / 3.3 V. Interfaz I²C</t>
        </is>
      </c>
    </row>
    <row r="72">
      <c r="A72" s="4">
        <f>ROW()-4</f>
        <v/>
      </c>
      <c r="B72" s="4" t="inlineStr">
        <is>
          <t>711</t>
        </is>
      </c>
      <c r="C72" s="4" t="inlineStr">
        <is>
          <t>Módulo</t>
        </is>
      </c>
      <c r="D72" s="5" t="inlineStr">
        <is>
          <t>Funduino L293D</t>
        </is>
      </c>
      <c r="E72" s="5" t="inlineStr">
        <is>
          <t>Manejar motores desde una placa de control sin dañar el microcontrolador.</t>
        </is>
      </c>
      <c r="F72" s="5" t="inlineStr">
        <is>
          <t>Voltaje lógico 5.0 V. Voltaje motor hasta 36 V. Puente dual H</t>
        </is>
      </c>
    </row>
    <row r="73">
      <c r="A73" s="4">
        <f>ROW()-4</f>
        <v/>
      </c>
      <c r="B73" s="4" t="inlineStr">
        <is>
          <t>712</t>
        </is>
      </c>
      <c r="C73" s="4" t="inlineStr">
        <is>
          <t>Módulo</t>
        </is>
      </c>
      <c r="D73" s="5" t="inlineStr">
        <is>
          <t>MH-SD Card Module</t>
        </is>
      </c>
      <c r="E73" s="5" t="inlineStr">
        <is>
          <t>Registrar datos, almacenar archivos y otras aplicaciones que requieren memoria externa.</t>
        </is>
      </c>
      <c r="F73" s="5" t="inlineStr">
        <is>
          <t>Voltaje de operación 3.3 V/5.0 V. Interfaz SPI</t>
        </is>
      </c>
    </row>
    <row r="74">
      <c r="A74" s="4">
        <f>ROW()-4</f>
        <v/>
      </c>
      <c r="B74" s="4" t="inlineStr">
        <is>
          <t>713</t>
        </is>
      </c>
      <c r="C74" s="4" t="inlineStr">
        <is>
          <t>Módulo</t>
        </is>
      </c>
      <c r="D74" s="5" t="inlineStr">
        <is>
          <t>FSI1000A</t>
        </is>
      </c>
      <c r="E74" s="5" t="inlineStr">
        <is>
          <t>Transmisor de radiofrecuencia (RF)</t>
        </is>
      </c>
      <c r="F74" s="5" t="inlineStr">
        <is>
          <t>Voltaje de operación 5.0 V. Frecuencia 433 MHz</t>
        </is>
      </c>
    </row>
    <row r="75">
      <c r="A75" s="4">
        <f>ROW()-4</f>
        <v/>
      </c>
      <c r="B75" s="4" t="inlineStr">
        <is>
          <t>714</t>
        </is>
      </c>
      <c r="C75" s="4" t="inlineStr">
        <is>
          <t>Módulo</t>
        </is>
      </c>
      <c r="D75" s="5" t="inlineStr">
        <is>
          <t>KY-008</t>
        </is>
      </c>
      <c r="E75" s="5" t="inlineStr">
        <is>
          <t>Transmisor de láser de baja potencia</t>
        </is>
      </c>
      <c r="F75" s="5" t="inlineStr">
        <is>
          <t>Voltaje de operación 5.0 V. Potencia óptica 5 mW</t>
        </is>
      </c>
    </row>
    <row r="76">
      <c r="A76" s="4">
        <f>ROW()-4</f>
        <v/>
      </c>
      <c r="B76" s="4" t="inlineStr">
        <is>
          <t>715</t>
        </is>
      </c>
      <c r="C76" s="4" t="inlineStr">
        <is>
          <t>Módulo</t>
        </is>
      </c>
      <c r="D76" s="5" t="inlineStr">
        <is>
          <t>KY-040</t>
        </is>
      </c>
      <c r="E76" s="5" t="inlineStr">
        <is>
          <t>Medición de posición angular y pulsos</t>
        </is>
      </c>
      <c r="F76" s="5" t="inlineStr">
        <is>
          <t>Voltaje de operación 3.3 V/5.0 V. Salida digital. Encoder rotatorio (con pulsador)</t>
        </is>
      </c>
    </row>
    <row r="77">
      <c r="A77" s="4">
        <f>ROW()-4</f>
        <v/>
      </c>
      <c r="B77" s="4" t="inlineStr">
        <is>
          <t>716</t>
        </is>
      </c>
      <c r="C77" s="4" t="inlineStr">
        <is>
          <t>Módulo</t>
        </is>
      </c>
      <c r="D77" s="5" t="inlineStr">
        <is>
          <t>MH-MINI360</t>
        </is>
      </c>
      <c r="E77" s="5" t="inlineStr">
        <is>
          <t>Conversor de voltaje DC-DC reductor (step-down)</t>
        </is>
      </c>
      <c r="F77" s="5" t="inlineStr">
        <is>
          <t>Voltaje de entrada 4.75–23 V. Voltaje de salida ajustable</t>
        </is>
      </c>
    </row>
    <row r="78">
      <c r="A78" s="4">
        <f>ROW()-4</f>
        <v/>
      </c>
      <c r="B78" s="4" t="inlineStr">
        <is>
          <t>717</t>
        </is>
      </c>
      <c r="C78" s="4" t="inlineStr">
        <is>
          <t>Módulo</t>
        </is>
      </c>
      <c r="D78" s="5" t="inlineStr">
        <is>
          <t>HX711</t>
        </is>
      </c>
      <c r="E78" s="5" t="inlineStr">
        <is>
          <t>Amplificador de celda de carga</t>
        </is>
      </c>
      <c r="F78" s="5" t="inlineStr">
        <is>
          <t>Voltaje de operación 2.6–5.5 V. Resolución 24 bits</t>
        </is>
      </c>
    </row>
    <row r="79">
      <c r="A79" s="4">
        <f>ROW()-4</f>
        <v/>
      </c>
      <c r="B79" s="4" t="inlineStr">
        <is>
          <t>718</t>
        </is>
      </c>
      <c r="C79" s="4" t="inlineStr">
        <is>
          <t>Módulo</t>
        </is>
      </c>
      <c r="D79" s="5" t="inlineStr">
        <is>
          <t>MH-ET LIVE Scanner</t>
        </is>
      </c>
      <c r="E79" s="5" t="inlineStr">
        <is>
          <t>Escanear códigos de barra y QR</t>
        </is>
      </c>
      <c r="F79" s="5" t="inlineStr">
        <is>
          <t>Voltaje de operación 3.3 V/5.0 V. Comunicación UART</t>
        </is>
      </c>
    </row>
    <row r="80">
      <c r="A80" s="4">
        <f>ROW()-4</f>
        <v/>
      </c>
      <c r="B80" s="4" t="inlineStr">
        <is>
          <t>719</t>
        </is>
      </c>
      <c r="C80" s="4" t="inlineStr">
        <is>
          <t>Módulo</t>
        </is>
      </c>
      <c r="D80" s="5" t="inlineStr">
        <is>
          <t>DFPlayer Mini MP3-TF-16P</t>
        </is>
      </c>
      <c r="E80" s="5" t="inlineStr">
        <is>
          <t>Reproductor de audio compacto y económico</t>
        </is>
      </c>
      <c r="F80" s="5" t="inlineStr">
        <is>
          <t>Voltaje de operación 3.2–5.0 V. Soporte microSD (TF). Salida de audio estéreo</t>
        </is>
      </c>
    </row>
    <row r="81">
      <c r="A81" s="4">
        <f>ROW()-4</f>
        <v/>
      </c>
      <c r="B81" s="4" t="inlineStr">
        <is>
          <t>720</t>
        </is>
      </c>
      <c r="C81" s="4" t="inlineStr">
        <is>
          <t>Módulo</t>
        </is>
      </c>
      <c r="D81" s="5" t="inlineStr">
        <is>
          <t>KY-025</t>
        </is>
      </c>
      <c r="E81" s="5" t="inlineStr">
        <is>
          <t>Detección binaria de campo magnético (interruptor magnético tipo reed switch)</t>
        </is>
      </c>
      <c r="F81" s="5" t="inlineStr">
        <is>
          <t>Voltaje de operación 3.3 V/5.0 V. Salida digital (ON/OFF). Proximidad de imán</t>
        </is>
      </c>
    </row>
    <row r="82">
      <c r="A82" s="4">
        <f>ROW()-4</f>
        <v/>
      </c>
      <c r="B82" s="4" t="inlineStr">
        <is>
          <t>721</t>
        </is>
      </c>
      <c r="C82" s="4" t="inlineStr">
        <is>
          <t>Módulo</t>
        </is>
      </c>
      <c r="D82" s="5" t="inlineStr">
        <is>
          <t>KY-024</t>
        </is>
      </c>
      <c r="E82" s="5" t="inlineStr">
        <is>
          <t>Detección de intensidad de campo magnético (sensor Hall lineal)</t>
        </is>
      </c>
      <c r="F82" s="5" t="inlineStr">
        <is>
          <t>Voltaje de operación 3.3 V/5.0 V. Salida analógica proporcional al campo y digital umbral ajustable</t>
        </is>
      </c>
    </row>
    <row r="83">
      <c r="A83" s="4">
        <f>ROW()-4</f>
        <v/>
      </c>
      <c r="B83" s="4" t="inlineStr">
        <is>
          <t>722</t>
        </is>
      </c>
      <c r="C83" s="4" t="inlineStr">
        <is>
          <t>Módulo</t>
        </is>
      </c>
      <c r="D83" s="5" t="inlineStr">
        <is>
          <t>MAX4466</t>
        </is>
      </c>
      <c r="E83" s="5" t="inlineStr">
        <is>
          <t>Preamplificador de micrófono eléctrico</t>
        </is>
      </c>
      <c r="F83" s="5" t="inlineStr">
        <is>
          <t>Voltaje de operación 2.4–5.5 V. Ganancia ajustable</t>
        </is>
      </c>
    </row>
    <row r="84">
      <c r="A84" s="4">
        <f>ROW()-4</f>
        <v/>
      </c>
      <c r="B84" s="4" t="inlineStr">
        <is>
          <t>723</t>
        </is>
      </c>
      <c r="C84" s="4" t="inlineStr">
        <is>
          <t>Módulo</t>
        </is>
      </c>
      <c r="D84" s="5" t="inlineStr">
        <is>
          <t>MH-Real Time Clock Module - 2</t>
        </is>
      </c>
      <c r="E84" s="5" t="inlineStr">
        <is>
          <t>Reloj en tiempo real</t>
        </is>
      </c>
      <c r="F84" s="5" t="inlineStr">
        <is>
          <t>Voltaje de operación 5.0 V. Interfaz I²C</t>
        </is>
      </c>
    </row>
    <row r="85">
      <c r="A85" s="4">
        <f>ROW()-4</f>
        <v/>
      </c>
      <c r="B85" s="4" t="inlineStr">
        <is>
          <t>724</t>
        </is>
      </c>
      <c r="C85" s="4" t="inlineStr">
        <is>
          <t>Módulo</t>
        </is>
      </c>
      <c r="D85" s="5" t="inlineStr">
        <is>
          <t>MB102</t>
        </is>
      </c>
      <c r="E85" s="5" t="inlineStr">
        <is>
          <t>Fuente de alimentación protoboard</t>
        </is>
      </c>
      <c r="F85" s="5" t="inlineStr">
        <is>
          <t>Voltaje de entrada 6.5–12 V. Salidas 3.3 V y 5.0 V</t>
        </is>
      </c>
    </row>
    <row r="86">
      <c r="A86" s="4">
        <f>ROW()-4</f>
        <v/>
      </c>
      <c r="B86" s="4" t="inlineStr">
        <is>
          <t>725</t>
        </is>
      </c>
      <c r="C86" s="4" t="inlineStr">
        <is>
          <t>Módulo</t>
        </is>
      </c>
      <c r="D86" s="5" t="inlineStr">
        <is>
          <t>KY-003</t>
        </is>
      </c>
      <c r="E86" s="5" t="inlineStr">
        <is>
          <t>Sensor Hall Digital: Detecta presencia de imanes mediante señal ON/OFF.</t>
        </is>
      </c>
      <c r="F86" s="5" t="inlineStr">
        <is>
          <t>Voltaje de operación 3.3 V/5.0 V. Salida analógica</t>
        </is>
      </c>
    </row>
    <row r="87">
      <c r="A87" s="4">
        <f>ROW()-4</f>
        <v/>
      </c>
      <c r="B87" s="4" t="inlineStr">
        <is>
          <t>726</t>
        </is>
      </c>
      <c r="C87" s="4" t="inlineStr">
        <is>
          <t>Módulo</t>
        </is>
      </c>
      <c r="D87" s="5" t="inlineStr">
        <is>
          <t>KY-004</t>
        </is>
      </c>
      <c r="E87" s="5" t="inlineStr">
        <is>
          <t>Interruptor de botón (pulsador)</t>
        </is>
      </c>
      <c r="F87" s="5" t="inlineStr">
        <is>
          <t>Voltaje de operación 3.3 V/5.0 V. Salida analógica</t>
        </is>
      </c>
    </row>
    <row r="88">
      <c r="A88" s="4">
        <f>ROW()-4</f>
        <v/>
      </c>
      <c r="B88" s="4" t="inlineStr">
        <is>
          <t>727</t>
        </is>
      </c>
      <c r="C88" s="4" t="inlineStr">
        <is>
          <t>Módulo</t>
        </is>
      </c>
      <c r="D88" s="5" t="inlineStr">
        <is>
          <t>KY-021</t>
        </is>
      </c>
      <c r="E88" s="5" t="inlineStr">
        <is>
          <t>Interruptor de campo magnético</t>
        </is>
      </c>
      <c r="F88" s="5" t="inlineStr">
        <is>
          <t>Voltaje de operación 3.3 V/5.0 V. Salida digital</t>
        </is>
      </c>
    </row>
    <row r="89">
      <c r="A89" s="4">
        <f>ROW()-4</f>
        <v/>
      </c>
      <c r="B89" s="4" t="inlineStr">
        <is>
          <t>728</t>
        </is>
      </c>
      <c r="C89" s="4" t="inlineStr">
        <is>
          <t>Módulo</t>
        </is>
      </c>
      <c r="D89" s="5" t="inlineStr">
        <is>
          <t>KY-005</t>
        </is>
      </c>
      <c r="E89" s="5" t="inlineStr">
        <is>
          <t>Emisor de infrarrojos</t>
        </is>
      </c>
      <c r="F89" s="5" t="inlineStr">
        <is>
          <t>Voltaje de operación 3.3 V/5.0 V. Salida digital</t>
        </is>
      </c>
    </row>
    <row r="90">
      <c r="A90" s="4">
        <f>ROW()-4</f>
        <v/>
      </c>
      <c r="B90" s="4" t="inlineStr">
        <is>
          <t>729</t>
        </is>
      </c>
      <c r="C90" s="4" t="inlineStr">
        <is>
          <t>Módulo</t>
        </is>
      </c>
      <c r="D90" s="5" t="inlineStr">
        <is>
          <t>KY-027</t>
        </is>
      </c>
      <c r="E90" s="5" t="inlineStr">
        <is>
          <t>Detectar cambios de orientación o vibración</t>
        </is>
      </c>
      <c r="F90" s="5" t="inlineStr">
        <is>
          <t>Voltaje de operación 3.3 V/5.0 V. Salida digital. Con LED integrada</t>
        </is>
      </c>
    </row>
    <row r="91">
      <c r="A91" s="4">
        <f>ROW()-4</f>
        <v/>
      </c>
      <c r="B91" s="4" t="inlineStr">
        <is>
          <t>730</t>
        </is>
      </c>
      <c r="C91" s="4" t="inlineStr">
        <is>
          <t>Módulo</t>
        </is>
      </c>
      <c r="D91" s="5" t="inlineStr">
        <is>
          <t>KY-017</t>
        </is>
      </c>
      <c r="E91" s="5" t="inlineStr">
        <is>
          <t>Detectar movimientos, cambios de posición, vibraciones o inclinaciones</t>
        </is>
      </c>
      <c r="F91" s="5" t="inlineStr">
        <is>
          <t>Voltaje de operación 3.3 V/5.0 V. Salida digital</t>
        </is>
      </c>
    </row>
    <row r="92">
      <c r="A92" s="4">
        <f>ROW()-4</f>
        <v/>
      </c>
      <c r="B92" s="4" t="inlineStr">
        <is>
          <t>731</t>
        </is>
      </c>
      <c r="C92" s="4" t="inlineStr">
        <is>
          <t>Módulo</t>
        </is>
      </c>
      <c r="D92" s="5" t="inlineStr">
        <is>
          <t>HX-53</t>
        </is>
      </c>
      <c r="E92" s="5" t="inlineStr">
        <is>
          <t>Transmitor de infrarrojos</t>
        </is>
      </c>
      <c r="F92" s="5" t="inlineStr">
        <is>
          <t>Voltaje de operación 3.3 V/5.0 V. Frecuencia 38 kHz</t>
        </is>
      </c>
    </row>
    <row r="93">
      <c r="A93" s="4">
        <f>ROW()-4</f>
        <v/>
      </c>
      <c r="B93" s="4" t="inlineStr">
        <is>
          <t>732</t>
        </is>
      </c>
      <c r="C93" s="4" t="inlineStr">
        <is>
          <t>Módulo</t>
        </is>
      </c>
      <c r="D93" s="5" t="inlineStr">
        <is>
          <t>PCB0100</t>
        </is>
      </c>
      <c r="E93" s="5" t="inlineStr">
        <is>
          <t>Transmitor de infrarrojos de 2 canales</t>
        </is>
      </c>
      <c r="F93" s="5" t="inlineStr">
        <is>
          <t>Voltaje de operación 3.3 V/5.0 V. Frecuencia 38 kHz</t>
        </is>
      </c>
    </row>
    <row r="94">
      <c r="A94" s="4">
        <f>ROW()-4</f>
        <v/>
      </c>
      <c r="B94" s="4" t="inlineStr">
        <is>
          <t>733</t>
        </is>
      </c>
      <c r="C94" s="4" t="inlineStr">
        <is>
          <t>Módulo</t>
        </is>
      </c>
      <c r="D94" s="5" t="inlineStr">
        <is>
          <t>Mini DC 5A Motor PWM Speed Controller</t>
        </is>
      </c>
      <c r="E94" s="5" t="inlineStr">
        <is>
          <t>Controla la velocidad de un motor de corriente continua (DC)</t>
        </is>
      </c>
      <c r="F94" s="5" t="inlineStr">
        <is>
          <t>Voltaje de operación 5–35 V. Corriente máxima 5 A</t>
        </is>
      </c>
    </row>
    <row r="95">
      <c r="A95" s="4">
        <f>ROW()-4</f>
        <v/>
      </c>
      <c r="B95" s="4" t="inlineStr">
        <is>
          <t>734</t>
        </is>
      </c>
      <c r="C95" s="4" t="inlineStr">
        <is>
          <t>Módulo</t>
        </is>
      </c>
      <c r="D95" s="5" t="inlineStr">
        <is>
          <t>MPU6050 (GY-521)</t>
        </is>
      </c>
      <c r="E95" s="5" t="inlineStr">
        <is>
          <t>Acelerometro y giroscopio</t>
        </is>
      </c>
      <c r="F95" s="5" t="inlineStr">
        <is>
          <t>Voltaje de operación 3.3–5.0 V. Interfaz I²C</t>
        </is>
      </c>
    </row>
    <row r="96">
      <c r="A96" s="4">
        <f>ROW()-4</f>
        <v/>
      </c>
      <c r="B96" s="4" t="inlineStr">
        <is>
          <t>735</t>
        </is>
      </c>
      <c r="C96" s="4" t="inlineStr">
        <is>
          <t>Módulo</t>
        </is>
      </c>
      <c r="D96" s="5" t="inlineStr">
        <is>
          <t>TP4056 Mini USB</t>
        </is>
      </c>
      <c r="E96" s="5" t="inlineStr">
        <is>
          <t>Cargador lineal para baterías de litio de una celda (3.7V)</t>
        </is>
      </c>
      <c r="F96" s="5" t="inlineStr">
        <is>
          <t>Voltaje de entrada 5.0 V (USB). Batería Li-ion 3.7 V (1 celda). Voltaje de carga 4.2 V. Corriente de carga hasta 1 A</t>
        </is>
      </c>
    </row>
    <row r="97">
      <c r="A97" s="4">
        <f>ROW()-4</f>
        <v/>
      </c>
      <c r="B97" s="4" t="inlineStr">
        <is>
          <t>736</t>
        </is>
      </c>
      <c r="C97" s="4" t="inlineStr">
        <is>
          <t>Módulo</t>
        </is>
      </c>
      <c r="D97" s="5" t="inlineStr">
        <is>
          <t>TP4056 Micro USB</t>
        </is>
      </c>
      <c r="E97" s="5" t="inlineStr">
        <is>
          <t>Cargador lineal para baterías de litio de una celda (3.7V)</t>
        </is>
      </c>
      <c r="F97" s="5" t="inlineStr">
        <is>
          <t>Voltaje de entrada 5.0 V (USB). Batería Li-ion 3.7 V (1 celda). Voltaje de carga 4.2 V. Corriente de carga hasta 1 A</t>
        </is>
      </c>
    </row>
    <row r="98">
      <c r="A98" s="4">
        <f>ROW()-4</f>
        <v/>
      </c>
      <c r="B98" s="4" t="inlineStr">
        <is>
          <t>737</t>
        </is>
      </c>
      <c r="C98" s="4" t="inlineStr">
        <is>
          <t>Módulo</t>
        </is>
      </c>
      <c r="D98" s="5" t="inlineStr">
        <is>
          <t>SIM800L</t>
        </is>
      </c>
      <c r="E98" s="5" t="inlineStr">
        <is>
          <t>Microchip de comunicación celular que permite a dispositivos electrónicos (como Arduino) enviar SMS, realizar llamadas y conectar a internet 2G mediante comandos</t>
        </is>
      </c>
      <c r="F98" s="5" t="inlineStr">
        <is>
          <t>Voltaje de operación 3.7–4.2 V. Redes GSM 2G (850/900/1800/1900 MHz). Comunicación UART</t>
        </is>
      </c>
    </row>
    <row r="99">
      <c r="A99" s="4">
        <f>ROW()-4</f>
        <v/>
      </c>
      <c r="B99" s="4" t="inlineStr">
        <is>
          <t>738</t>
        </is>
      </c>
      <c r="C99" s="4" t="inlineStr">
        <is>
          <t>Módulo</t>
        </is>
      </c>
      <c r="D99" s="5" t="inlineStr">
        <is>
          <t>RN42XVP-I-RM</t>
        </is>
      </c>
      <c r="E99" s="5" t="inlineStr">
        <is>
          <t>Módulo de comunicación Bluetooth 2.1 de bajo consumo</t>
        </is>
      </c>
      <c r="F99" s="5" t="inlineStr">
        <is>
          <t>Voltaje de operación 3.0–3.6 V. Bluetooth 2.1 + EDR. Comunicación UART</t>
        </is>
      </c>
    </row>
    <row r="100">
      <c r="A100" s="4">
        <f>ROW()-4</f>
        <v/>
      </c>
      <c r="B100" s="4" t="inlineStr">
        <is>
          <t>739</t>
        </is>
      </c>
      <c r="C100" s="4" t="inlineStr">
        <is>
          <t>Módulo</t>
        </is>
      </c>
      <c r="D100" s="5" t="inlineStr">
        <is>
          <t>PCF8591</t>
        </is>
      </c>
      <c r="E100" s="5" t="inlineStr">
        <is>
          <t>Puede convertir señales analógicas en digitales (AD) y señales digitales en analógicas (DA)</t>
        </is>
      </c>
      <c r="F100" s="5" t="inlineStr">
        <is>
          <t>Voltaje de operación 2.5–6.0 V. Resolución 8 bits</t>
        </is>
      </c>
    </row>
    <row r="101">
      <c r="A101" s="4">
        <f>ROW()-4</f>
        <v/>
      </c>
      <c r="B101" s="4" t="inlineStr">
        <is>
          <t>740</t>
        </is>
      </c>
      <c r="C101" s="4" t="inlineStr">
        <is>
          <t>Componentes</t>
        </is>
      </c>
      <c r="D101" s="5" t="inlineStr">
        <is>
          <t>Antena helicoidal</t>
        </is>
      </c>
      <c r="E101" s="5" t="inlineStr">
        <is>
          <t>Transmisión y recepción de señales de radiofrecuencia (RF)</t>
        </is>
      </c>
      <c r="F101" s="5" t="inlineStr">
        <is>
          <t>Impedancia típica 50 Ω. Uso en radiofrecuencia (RF)</t>
        </is>
      </c>
    </row>
    <row r="102">
      <c r="A102" s="4">
        <f>ROW()-4</f>
        <v/>
      </c>
      <c r="B102" s="4" t="inlineStr">
        <is>
          <t>741</t>
        </is>
      </c>
      <c r="C102" s="4" t="inlineStr">
        <is>
          <t>Componentes</t>
        </is>
      </c>
      <c r="D102" s="5" t="inlineStr">
        <is>
          <t>Tarjeta RFID</t>
        </is>
      </c>
      <c r="E102" s="5" t="inlineStr">
        <is>
          <t>Identificación por radiofrecuencia</t>
        </is>
      </c>
      <c r="F102" s="5" t="inlineStr">
        <is>
          <t>Frecuencia 13.56 MHz</t>
        </is>
      </c>
    </row>
    <row r="103">
      <c r="A103" s="4">
        <f>ROW()-4</f>
        <v/>
      </c>
      <c r="B103" s="4" t="inlineStr">
        <is>
          <t>742</t>
        </is>
      </c>
      <c r="C103" s="4" t="inlineStr">
        <is>
          <t>Componentes</t>
        </is>
      </c>
      <c r="D103" s="5" t="inlineStr">
        <is>
          <t>LLavero Tag RFID</t>
        </is>
      </c>
      <c r="E103" s="5" t="inlineStr">
        <is>
          <t>Identificación por radiofrecuencia</t>
        </is>
      </c>
      <c r="F103" s="5" t="inlineStr">
        <is>
          <t>Frecuencia 13.56 MHz</t>
        </is>
      </c>
    </row>
    <row r="104">
      <c r="A104" s="4">
        <f>ROW()-4</f>
        <v/>
      </c>
      <c r="B104" s="4" t="inlineStr">
        <is>
          <t>743</t>
        </is>
      </c>
      <c r="C104" s="4" t="inlineStr">
        <is>
          <t>Componentes</t>
        </is>
      </c>
      <c r="D104" s="5" t="inlineStr">
        <is>
          <t>CEET120B085</t>
        </is>
      </c>
      <c r="E104" s="5" t="inlineStr">
        <is>
          <t>Mini parlantes</t>
        </is>
      </c>
      <c r="F104" s="5" t="inlineStr">
        <is>
          <t>Voltaje nominal 12 V</t>
        </is>
      </c>
    </row>
    <row r="105">
      <c r="A105" s="4">
        <f>ROW()-4</f>
        <v/>
      </c>
      <c r="B105" s="4" t="inlineStr">
        <is>
          <t>744</t>
        </is>
      </c>
      <c r="C105" s="4" t="inlineStr">
        <is>
          <t>Componentes</t>
        </is>
      </c>
      <c r="D105" s="5" t="inlineStr">
        <is>
          <t>Mini celda</t>
        </is>
      </c>
      <c r="E105" s="5" t="inlineStr">
        <is>
          <t>Panel solar</t>
        </is>
      </c>
      <c r="F105" s="5" t="inlineStr">
        <is>
          <t>Voltaje nominal 1.5 V</t>
        </is>
      </c>
    </row>
    <row r="106">
      <c r="A106" s="4">
        <f>ROW()-4</f>
        <v/>
      </c>
      <c r="B106" s="4" t="inlineStr">
        <is>
          <t>745</t>
        </is>
      </c>
      <c r="C106" s="4" t="inlineStr">
        <is>
          <t>Componentes</t>
        </is>
      </c>
      <c r="D106" s="5" t="inlineStr">
        <is>
          <t>Display 7 segmentos LED</t>
        </is>
      </c>
      <c r="E106" s="5" t="inlineStr">
        <is>
          <t>Contador númerico</t>
        </is>
      </c>
      <c r="F106" s="5" t="inlineStr">
        <is>
          <t>Voltaje típico 2.0–2.2 V por segmento</t>
        </is>
      </c>
    </row>
    <row r="107">
      <c r="A107" s="4">
        <f>ROW()-4</f>
        <v/>
      </c>
      <c r="B107" s="4" t="inlineStr">
        <is>
          <t>746</t>
        </is>
      </c>
      <c r="C107" s="4" t="inlineStr">
        <is>
          <t>Componentes</t>
        </is>
      </c>
      <c r="D107" s="5" t="inlineStr">
        <is>
          <t>B10K Grandes</t>
        </is>
      </c>
      <c r="E107" s="5" t="inlineStr">
        <is>
          <t>Potenciometros</t>
        </is>
      </c>
      <c r="F107" s="5" t="inlineStr">
        <is>
          <t>Resistencia 10 kΩ. Tolerancia ±10%</t>
        </is>
      </c>
    </row>
    <row r="108">
      <c r="A108" s="4">
        <f>ROW()-4</f>
        <v/>
      </c>
      <c r="B108" s="4" t="inlineStr">
        <is>
          <t>747</t>
        </is>
      </c>
      <c r="C108" s="4" t="inlineStr">
        <is>
          <t>Componentes</t>
        </is>
      </c>
      <c r="D108" s="5" t="inlineStr">
        <is>
          <t>B10K Pequeños</t>
        </is>
      </c>
      <c r="E108" s="5" t="inlineStr">
        <is>
          <t>Potenciometros</t>
        </is>
      </c>
      <c r="F108" s="5" t="inlineStr">
        <is>
          <t>Resistencia 10 kΩ. Tolerancia ±10%</t>
        </is>
      </c>
    </row>
    <row r="109">
      <c r="A109" s="4">
        <f>ROW()-4</f>
        <v/>
      </c>
      <c r="B109" s="4" t="inlineStr">
        <is>
          <t>748</t>
        </is>
      </c>
      <c r="C109" s="4" t="inlineStr">
        <is>
          <t>Componentes</t>
        </is>
      </c>
      <c r="D109" s="5" t="inlineStr">
        <is>
          <t>B103</t>
        </is>
      </c>
      <c r="E109" s="5" t="inlineStr">
        <is>
          <t>Potenciometros</t>
        </is>
      </c>
      <c r="F109" s="5" t="inlineStr">
        <is>
          <t>Resistencia 10 kΩ. Tolerancia ±20%</t>
        </is>
      </c>
    </row>
    <row r="110">
      <c r="A110" s="4">
        <f>ROW()-4</f>
        <v/>
      </c>
      <c r="B110" s="4" t="inlineStr">
        <is>
          <t>749</t>
        </is>
      </c>
      <c r="C110" s="4" t="inlineStr">
        <is>
          <t>Componentes</t>
        </is>
      </c>
      <c r="D110" s="5" t="inlineStr">
        <is>
          <t>KY-023</t>
        </is>
      </c>
      <c r="E110" s="5" t="inlineStr">
        <is>
          <t>Eje dual XY PS2 Joystick</t>
        </is>
      </c>
      <c r="F110" s="5" t="inlineStr">
        <is>
          <t>Voltaje de operación 3.3 V/5.0 V</t>
        </is>
      </c>
    </row>
    <row r="111">
      <c r="A111" s="4">
        <f>ROW()-4</f>
        <v/>
      </c>
      <c r="B111" s="4" t="inlineStr">
        <is>
          <t>750</t>
        </is>
      </c>
      <c r="C111" s="4" t="inlineStr">
        <is>
          <t>Componentes</t>
        </is>
      </c>
      <c r="D111" s="5" t="inlineStr">
        <is>
          <t>KY-016</t>
        </is>
      </c>
      <c r="E111" s="5" t="inlineStr">
        <is>
          <t>LED RGB (rojo, verde, azul)</t>
        </is>
      </c>
      <c r="F111" s="5" t="inlineStr">
        <is>
          <t>Voltaje de operación 3.3 V/5.0 V</t>
        </is>
      </c>
    </row>
    <row r="112">
      <c r="A112" s="4">
        <f>ROW()-4</f>
        <v/>
      </c>
      <c r="B112" s="4" t="inlineStr">
        <is>
          <t>751</t>
        </is>
      </c>
      <c r="C112" s="4" t="inlineStr">
        <is>
          <t>Componentes</t>
        </is>
      </c>
      <c r="D112" s="5" t="inlineStr">
        <is>
          <t>KY-034 (CNT5)</t>
        </is>
      </c>
      <c r="E112" s="5" t="inlineStr">
        <is>
          <t>LED de destello automático de 7 colores</t>
        </is>
      </c>
      <c r="F112" s="5" t="inlineStr">
        <is>
          <t>Diámetro 5 mm</t>
        </is>
      </c>
    </row>
    <row r="113">
      <c r="A113" s="4">
        <f>ROW()-4</f>
        <v/>
      </c>
      <c r="B113" s="4" t="inlineStr">
        <is>
          <t>752</t>
        </is>
      </c>
      <c r="C113" s="4" t="inlineStr">
        <is>
          <t>Componentes</t>
        </is>
      </c>
      <c r="D113" s="5" t="inlineStr">
        <is>
          <t>EC11</t>
        </is>
      </c>
      <c r="E113" s="5" t="inlineStr">
        <is>
          <t>Encoder rotatorio para detección de giro (potenciometro digital)</t>
        </is>
      </c>
      <c r="F113" s="5" t="inlineStr">
        <is>
          <t>Voltaje máximo 5.0 V</t>
        </is>
      </c>
    </row>
    <row r="114">
      <c r="A114" s="4">
        <f>ROW()-4</f>
        <v/>
      </c>
      <c r="B114" s="4" t="inlineStr">
        <is>
          <t>753</t>
        </is>
      </c>
      <c r="C114" s="4" t="inlineStr">
        <is>
          <t>Componentes</t>
        </is>
      </c>
      <c r="D114" s="5" t="inlineStr">
        <is>
          <t>KY-011</t>
        </is>
      </c>
      <c r="E114" s="5" t="inlineStr">
        <is>
          <t>LED Bicolor</t>
        </is>
      </c>
      <c r="F114" s="5" t="inlineStr">
        <is>
          <t>Diámetro 5 mm</t>
        </is>
      </c>
    </row>
    <row r="115">
      <c r="A115" s="4">
        <f>ROW()-4</f>
        <v/>
      </c>
      <c r="B115" s="4" t="inlineStr">
        <is>
          <t>754</t>
        </is>
      </c>
      <c r="C115" s="4" t="inlineStr">
        <is>
          <t>Componentes</t>
        </is>
      </c>
      <c r="D115" s="5" t="inlineStr">
        <is>
          <t>KY-029</t>
        </is>
      </c>
      <c r="E115" s="5" t="inlineStr">
        <is>
          <t>LED Bicolor</t>
        </is>
      </c>
      <c r="F115" s="5" t="inlineStr">
        <is>
          <t>Diámetro 3 mm</t>
        </is>
      </c>
    </row>
    <row r="116">
      <c r="A116" s="4">
        <f>ROW()-4</f>
        <v/>
      </c>
      <c r="B116" s="4" t="inlineStr">
        <is>
          <t>755</t>
        </is>
      </c>
      <c r="C116" s="4" t="inlineStr">
        <is>
          <t>Componentes</t>
        </is>
      </c>
      <c r="D116" s="5" t="inlineStr">
        <is>
          <t>LED RGB 140C05</t>
        </is>
      </c>
      <c r="E116" s="5" t="inlineStr">
        <is>
          <t>LED RGB (rojo, verde, azul)</t>
        </is>
      </c>
      <c r="F116" s="5" t="inlineStr">
        <is>
          <t>Diámetro 10 mm</t>
        </is>
      </c>
    </row>
    <row r="117">
      <c r="A117" s="4">
        <f>ROW()-4</f>
        <v/>
      </c>
      <c r="B117" s="4" t="inlineStr">
        <is>
          <t>756</t>
        </is>
      </c>
      <c r="C117" s="4" t="inlineStr">
        <is>
          <t>Componentes</t>
        </is>
      </c>
      <c r="D117" s="5" t="inlineStr">
        <is>
          <t>KY-009</t>
        </is>
      </c>
      <c r="E117" s="5" t="inlineStr">
        <is>
          <t>LED SMD RGB</t>
        </is>
      </c>
      <c r="F117" s="5" t="inlineStr">
        <is>
          <t>Voltaje de operación 3.3 V/5.0 V</t>
        </is>
      </c>
    </row>
    <row r="118">
      <c r="A118" s="4">
        <f>ROW()-4</f>
        <v/>
      </c>
      <c r="B118" s="4" t="inlineStr">
        <is>
          <t>757</t>
        </is>
      </c>
      <c r="C118" s="4" t="inlineStr">
        <is>
          <t>Componentes</t>
        </is>
      </c>
      <c r="D118" s="5" t="inlineStr">
        <is>
          <t>PCB modificadas</t>
        </is>
      </c>
      <c r="E118" s="5" t="inlineStr"/>
      <c r="F118" s="5" t="inlineStr">
        <is>
          <t>Con cuatro interruptores</t>
        </is>
      </c>
    </row>
    <row r="119">
      <c r="A119" s="4">
        <f>ROW()-4</f>
        <v/>
      </c>
      <c r="B119" s="4" t="inlineStr">
        <is>
          <t>758</t>
        </is>
      </c>
      <c r="C119" s="4" t="inlineStr">
        <is>
          <t>Componentes</t>
        </is>
      </c>
      <c r="D119" s="5" t="inlineStr">
        <is>
          <t>3.5 inch RPI Display</t>
        </is>
      </c>
      <c r="E119" s="5" t="inlineStr">
        <is>
          <t>Pantalla touch LCD</t>
        </is>
      </c>
      <c r="F119" s="5" t="inlineStr">
        <is>
          <t>Voltaje de operación 5.0 V</t>
        </is>
      </c>
    </row>
    <row r="120">
      <c r="A120" s="4">
        <f>ROW()-4</f>
        <v/>
      </c>
      <c r="B120" s="4" t="inlineStr">
        <is>
          <t>759</t>
        </is>
      </c>
      <c r="C120" s="4" t="inlineStr">
        <is>
          <t>Componentes</t>
        </is>
      </c>
      <c r="D120" s="5" t="inlineStr">
        <is>
          <t>NX3224T024</t>
        </is>
      </c>
      <c r="E120" s="5" t="inlineStr">
        <is>
          <t>Pantalla touch LCD</t>
        </is>
      </c>
      <c r="F120" s="5" t="inlineStr">
        <is>
          <t>Tamaño 2.4 pulgadas. Voltaje 3.3 V/5.0 V</t>
        </is>
      </c>
    </row>
    <row r="121">
      <c r="A121" s="4">
        <f>ROW()-4</f>
        <v/>
      </c>
      <c r="B121" s="4" t="inlineStr">
        <is>
          <t>760</t>
        </is>
      </c>
      <c r="C121" s="4" t="inlineStr">
        <is>
          <t>Componentes</t>
        </is>
      </c>
      <c r="D121" s="5" t="inlineStr">
        <is>
          <t>Shield TFT Touch</t>
        </is>
      </c>
      <c r="E121" s="5" t="inlineStr">
        <is>
          <t>Pantalla touch LCD</t>
        </is>
      </c>
      <c r="F121" s="5" t="inlineStr">
        <is>
          <t>Voltaje de operación 5.0 V</t>
        </is>
      </c>
    </row>
    <row r="122">
      <c r="A122" s="4">
        <f>ROW()-4</f>
        <v/>
      </c>
      <c r="B122" s="4" t="inlineStr">
        <is>
          <t>761</t>
        </is>
      </c>
      <c r="C122" s="4" t="inlineStr">
        <is>
          <t>Componentes</t>
        </is>
      </c>
      <c r="D122" s="5" t="inlineStr">
        <is>
          <t>Microswitch V-156-1C25</t>
        </is>
      </c>
      <c r="E122" s="5" t="inlineStr">
        <is>
          <t>2 pines funciona como un interruptor simple de tipo ON/OFF (encendido/apagado) Interruptor de acción rápida</t>
        </is>
      </c>
      <c r="F122" s="5" t="inlineStr">
        <is>
          <t>Voltaje nominal 250 VAC</t>
        </is>
      </c>
    </row>
    <row r="123">
      <c r="A123" s="4">
        <f>ROW()-4</f>
        <v/>
      </c>
      <c r="B123" s="4" t="inlineStr">
        <is>
          <t>762</t>
        </is>
      </c>
      <c r="C123" s="4" t="inlineStr">
        <is>
          <t>Componentes</t>
        </is>
      </c>
      <c r="D123" s="5" t="inlineStr">
        <is>
          <t>Battery Shield 18650 (Doble Pila)</t>
        </is>
      </c>
      <c r="E123" s="5" t="inlineStr">
        <is>
          <t>Fuente de alimentación portátil</t>
        </is>
      </c>
      <c r="F123" s="5" t="inlineStr">
        <is>
          <t>Voltaje de salida 5.0 V</t>
        </is>
      </c>
    </row>
    <row r="124">
      <c r="A124" s="4">
        <f>ROW()-4</f>
        <v/>
      </c>
      <c r="B124" s="4" t="inlineStr">
        <is>
          <t>763</t>
        </is>
      </c>
      <c r="C124" s="4" t="inlineStr">
        <is>
          <t>Componentes</t>
        </is>
      </c>
      <c r="D124" s="5" t="inlineStr">
        <is>
          <t>Battery Shield 18650 (Una Pila)</t>
        </is>
      </c>
      <c r="E124" s="5" t="inlineStr">
        <is>
          <t>Fuente de alimentación portátil</t>
        </is>
      </c>
      <c r="F124" s="5" t="inlineStr">
        <is>
          <t>Voltaje de salida 5.0 V</t>
        </is>
      </c>
    </row>
    <row r="125">
      <c r="A125" s="4">
        <f>ROW()-4</f>
        <v/>
      </c>
      <c r="B125" s="4" t="inlineStr">
        <is>
          <t>764</t>
        </is>
      </c>
      <c r="C125" s="4" t="inlineStr">
        <is>
          <t>Componentes</t>
        </is>
      </c>
      <c r="D125" s="5" t="inlineStr">
        <is>
          <t>VN-2252</t>
        </is>
      </c>
      <c r="E125" s="5" t="inlineStr">
        <is>
          <t>Ventilador compacto</t>
        </is>
      </c>
      <c r="F125" s="5" t="inlineStr">
        <is>
          <t>Voltaje nominal 12 V. Dimensiones 40 × 40 × 20 mm</t>
        </is>
      </c>
    </row>
    <row r="126">
      <c r="A126" s="4">
        <f>ROW()-4</f>
        <v/>
      </c>
      <c r="B126" s="4" t="inlineStr">
        <is>
          <t>765</t>
        </is>
      </c>
      <c r="C126" s="4" t="inlineStr">
        <is>
          <t>Componentes</t>
        </is>
      </c>
      <c r="D126" s="5" t="inlineStr">
        <is>
          <t>Botón Sanwa OBSF-24</t>
        </is>
      </c>
      <c r="E126" s="5" t="inlineStr">
        <is>
          <t>Botón pulsador</t>
        </is>
      </c>
      <c r="F126" s="5" t="inlineStr">
        <is>
          <t>Diámetro 24 mm</t>
        </is>
      </c>
    </row>
    <row r="127">
      <c r="A127" s="4">
        <f>ROW()-4</f>
        <v/>
      </c>
      <c r="B127" s="4" t="inlineStr">
        <is>
          <t>766</t>
        </is>
      </c>
      <c r="C127" s="4" t="inlineStr">
        <is>
          <t>Componentes</t>
        </is>
      </c>
      <c r="D127" s="5" t="inlineStr">
        <is>
          <t>AFC0612D</t>
        </is>
      </c>
      <c r="E127" s="5" t="inlineStr">
        <is>
          <t>Ventilador compacto</t>
        </is>
      </c>
      <c r="F127" s="5" t="inlineStr">
        <is>
          <t>Voltaje nominal 12 V. Dimensiones 60 × 60 × 25 mm</t>
        </is>
      </c>
    </row>
    <row r="128">
      <c r="A128" s="4">
        <f>ROW()-4</f>
        <v/>
      </c>
      <c r="B128" s="4" t="inlineStr">
        <is>
          <t>767</t>
        </is>
      </c>
      <c r="C128" s="4" t="inlineStr">
        <is>
          <t>Componentes</t>
        </is>
      </c>
      <c r="D128" s="5" t="inlineStr">
        <is>
          <t>Botón Arcade 24mm</t>
        </is>
      </c>
      <c r="E128" s="5" t="inlineStr">
        <is>
          <t>Botón pulsador</t>
        </is>
      </c>
      <c r="F128" s="5" t="inlineStr">
        <is>
          <t>Diámetro 24 mm</t>
        </is>
      </c>
    </row>
    <row r="129">
      <c r="A129" s="4">
        <f>ROW()-4</f>
        <v/>
      </c>
      <c r="B129" s="4" t="inlineStr">
        <is>
          <t>768</t>
        </is>
      </c>
      <c r="C129" s="4" t="inlineStr">
        <is>
          <t>Componentes</t>
        </is>
      </c>
      <c r="D129" s="5" t="inlineStr">
        <is>
          <t>Válvula solenoide</t>
        </is>
      </c>
      <c r="E129" s="5" t="inlineStr">
        <is>
          <t>Controla flujo de líquidos o gases</t>
        </is>
      </c>
      <c r="F129" s="5" t="inlineStr">
        <is>
          <t>Voltaje nominal 12 V</t>
        </is>
      </c>
    </row>
    <row r="130">
      <c r="A130" s="4">
        <f>ROW()-4</f>
        <v/>
      </c>
      <c r="B130" s="4" t="inlineStr">
        <is>
          <t>769</t>
        </is>
      </c>
      <c r="C130" s="4" t="inlineStr">
        <is>
          <t>Componentes</t>
        </is>
      </c>
      <c r="D130" s="5" t="inlineStr">
        <is>
          <t>Brushless Fan Pengdalantu</t>
        </is>
      </c>
      <c r="E130" s="5" t="inlineStr">
        <is>
          <t>Ventilador compacto</t>
        </is>
      </c>
      <c r="F130" s="5" t="inlineStr">
        <is>
          <t>Voltaje nominal 5.0 V. Dimensiones 30 × 30 × 10 mm</t>
        </is>
      </c>
    </row>
    <row r="131">
      <c r="A131" s="4">
        <f>ROW()-4</f>
        <v/>
      </c>
      <c r="B131" s="4" t="inlineStr">
        <is>
          <t>770</t>
        </is>
      </c>
      <c r="C131" s="4" t="inlineStr">
        <is>
          <t>Componentes</t>
        </is>
      </c>
      <c r="D131" s="5" t="inlineStr">
        <is>
          <t>Brushless Fan Caizhu Fan</t>
        </is>
      </c>
      <c r="E131" s="5" t="inlineStr">
        <is>
          <t>Ventilador compacto</t>
        </is>
      </c>
      <c r="F131" s="5" t="inlineStr">
        <is>
          <t>Voltaje nominal 12 V. Dimensiones 50 × 50 × 10 mm</t>
        </is>
      </c>
    </row>
    <row r="132">
      <c r="A132" s="4">
        <f>ROW()-4</f>
        <v/>
      </c>
      <c r="B132" s="4" t="inlineStr">
        <is>
          <t>771</t>
        </is>
      </c>
      <c r="C132" s="4" t="inlineStr">
        <is>
          <t>Componentes</t>
        </is>
      </c>
      <c r="D132" s="5" t="inlineStr">
        <is>
          <t>LYF Sleeve</t>
        </is>
      </c>
      <c r="E132" s="5" t="inlineStr">
        <is>
          <t>Ventilador compacto</t>
        </is>
      </c>
      <c r="F132" s="5" t="inlineStr">
        <is>
          <t>Voltaje nominal 5.0 V. Dimensiones 80 × 80 × 10 mm</t>
        </is>
      </c>
    </row>
    <row r="133">
      <c r="A133" s="4">
        <f>ROW()-4</f>
        <v/>
      </c>
      <c r="B133" s="4" t="inlineStr">
        <is>
          <t>772</t>
        </is>
      </c>
      <c r="C133" s="4" t="inlineStr">
        <is>
          <t>Componentes</t>
        </is>
      </c>
      <c r="D133" s="5" t="inlineStr">
        <is>
          <t>CC DC0-18V</t>
        </is>
      </c>
      <c r="E133" s="5" t="inlineStr">
        <is>
          <t>Mini generador hidroeléctrico que convierte la energía potencial del agua en energía eléctrica de corriente continua</t>
        </is>
      </c>
      <c r="F133" s="5" t="inlineStr">
        <is>
          <t>Voltaje ajustable 0–18 V</t>
        </is>
      </c>
    </row>
    <row r="134">
      <c r="A134" s="4">
        <f>ROW()-4</f>
        <v/>
      </c>
      <c r="B134" s="4" t="inlineStr">
        <is>
          <t>773</t>
        </is>
      </c>
      <c r="C134" s="4" t="inlineStr">
        <is>
          <t>Componentes</t>
        </is>
      </c>
      <c r="D134" s="5" t="inlineStr">
        <is>
          <t>FJ60D12C3 Fulree</t>
        </is>
      </c>
      <c r="E134" s="5" t="inlineStr">
        <is>
          <t>Conversor de voltaje DC/DC</t>
        </is>
      </c>
      <c r="F134" s="5" t="inlineStr">
        <is>
          <t>Voltaje de operación 20–60 V</t>
        </is>
      </c>
    </row>
    <row r="135">
      <c r="A135" s="4">
        <f>ROW()-4</f>
        <v/>
      </c>
      <c r="B135" s="4" t="inlineStr">
        <is>
          <t>774</t>
        </is>
      </c>
      <c r="C135" s="4" t="inlineStr">
        <is>
          <t>Componentes</t>
        </is>
      </c>
      <c r="D135" s="5" t="inlineStr">
        <is>
          <t>Portapilas para baterías AA (4 pilas)</t>
        </is>
      </c>
      <c r="E135" s="5" t="inlineStr">
        <is>
          <t>4 pilas AA</t>
        </is>
      </c>
      <c r="F135" s="5" t="inlineStr">
        <is>
          <t>Voltaje de salida 6.0 V</t>
        </is>
      </c>
    </row>
    <row r="136">
      <c r="A136" s="4">
        <f>ROW()-4</f>
        <v/>
      </c>
      <c r="B136" s="4" t="inlineStr">
        <is>
          <t>775</t>
        </is>
      </c>
      <c r="C136" s="4" t="inlineStr">
        <is>
          <t>Componentes</t>
        </is>
      </c>
      <c r="D136" s="5" t="inlineStr">
        <is>
          <t>Portapilas para baterías AA (2 pilas)</t>
        </is>
      </c>
      <c r="E136" s="5" t="inlineStr">
        <is>
          <t>1 pila AA</t>
        </is>
      </c>
      <c r="F136" s="5" t="inlineStr">
        <is>
          <t>Voltaje de salida 3.0 V</t>
        </is>
      </c>
    </row>
    <row r="137">
      <c r="A137" s="4">
        <f>ROW()-4</f>
        <v/>
      </c>
      <c r="B137" s="4" t="inlineStr">
        <is>
          <t>776</t>
        </is>
      </c>
      <c r="C137" s="4" t="inlineStr">
        <is>
          <t>Componentes</t>
        </is>
      </c>
      <c r="D137" s="5" t="inlineStr">
        <is>
          <t>Portapilas para baterías AA (1 pilas)</t>
        </is>
      </c>
      <c r="E137" s="5" t="inlineStr">
        <is>
          <t>2 pila AA</t>
        </is>
      </c>
      <c r="F137" s="5" t="inlineStr">
        <is>
          <t>Voltaje de salida 1.5 V</t>
        </is>
      </c>
    </row>
    <row r="138">
      <c r="A138" s="4">
        <f>ROW()-4</f>
        <v/>
      </c>
      <c r="B138" s="4" t="inlineStr">
        <is>
          <t>777</t>
        </is>
      </c>
      <c r="C138" s="4" t="inlineStr">
        <is>
          <t>Componentes</t>
        </is>
      </c>
      <c r="D138" s="5" t="inlineStr">
        <is>
          <t>LCD 1602 azul</t>
        </is>
      </c>
      <c r="E138" s="5" t="inlineStr">
        <is>
          <t>Pantalla LCD 1602 azul</t>
        </is>
      </c>
      <c r="F138" s="5" t="inlineStr">
        <is>
          <t>Voltaje de operación 5.0 V</t>
        </is>
      </c>
    </row>
    <row r="139">
      <c r="A139" s="4">
        <f>ROW()-4</f>
        <v/>
      </c>
      <c r="B139" s="4" t="inlineStr">
        <is>
          <t>778</t>
        </is>
      </c>
      <c r="C139" s="4" t="inlineStr">
        <is>
          <t>Componentes</t>
        </is>
      </c>
      <c r="D139" s="5" t="inlineStr">
        <is>
          <t>OLED 0.96 pulgadas</t>
        </is>
      </c>
      <c r="E139" s="5" t="inlineStr">
        <is>
          <t>Pantalla 0.96 pulgadas</t>
        </is>
      </c>
      <c r="F139" s="5" t="inlineStr">
        <is>
          <t>Voltaje de operación 3.3 V/5.0 V</t>
        </is>
      </c>
    </row>
    <row r="140">
      <c r="A140" s="4">
        <f>ROW()-4</f>
        <v/>
      </c>
      <c r="B140" s="4" t="inlineStr">
        <is>
          <t>779</t>
        </is>
      </c>
      <c r="C140" s="4" t="inlineStr">
        <is>
          <t>Componentes</t>
        </is>
      </c>
      <c r="D140" s="5" t="inlineStr">
        <is>
          <t>OLED 0.91 pulgadas</t>
        </is>
      </c>
      <c r="E140" s="5" t="inlineStr">
        <is>
          <t>Pantalla 0.91 pulgadas</t>
        </is>
      </c>
      <c r="F140" s="5" t="inlineStr">
        <is>
          <t>Voltaje de operación 3.3 V/5.0 V</t>
        </is>
      </c>
    </row>
    <row r="141">
      <c r="A141" s="4">
        <f>ROW()-4</f>
        <v/>
      </c>
      <c r="B141" s="4" t="inlineStr">
        <is>
          <t>780</t>
        </is>
      </c>
      <c r="C141" s="4" t="inlineStr">
        <is>
          <t>Componentes</t>
        </is>
      </c>
      <c r="D141" s="5" t="inlineStr">
        <is>
          <t>1.54 inch E-paper module</t>
        </is>
      </c>
      <c r="E141" s="5" t="inlineStr">
        <is>
          <t>Pantalla de tinta electronica MH-ET LIVE</t>
        </is>
      </c>
      <c r="F141" s="5" t="inlineStr">
        <is>
          <t>Voltaje de operación 3.3 V</t>
        </is>
      </c>
    </row>
    <row r="142">
      <c r="A142" s="4">
        <f>ROW()-4</f>
        <v/>
      </c>
      <c r="B142" s="4" t="inlineStr">
        <is>
          <t>781</t>
        </is>
      </c>
      <c r="C142" s="4" t="inlineStr">
        <is>
          <t>Componentes</t>
        </is>
      </c>
      <c r="D142" s="5" t="inlineStr">
        <is>
          <t>NEO-7M-0-000</t>
        </is>
      </c>
      <c r="E142" s="5" t="inlineStr">
        <is>
          <t>GPS Brújula</t>
        </is>
      </c>
      <c r="F142" s="5" t="inlineStr">
        <is>
          <t>Voltaje de operación 3.0–5.0 V</t>
        </is>
      </c>
    </row>
    <row r="143">
      <c r="A143" s="4">
        <f>ROW()-4</f>
        <v/>
      </c>
      <c r="B143" s="4" t="inlineStr">
        <is>
          <t>782</t>
        </is>
      </c>
      <c r="C143" s="4" t="inlineStr">
        <is>
          <t>Componentes</t>
        </is>
      </c>
      <c r="D143" s="5" t="inlineStr">
        <is>
          <t>Botón arcade A4 Switch colores</t>
        </is>
      </c>
      <c r="E143" s="5" t="inlineStr">
        <is>
          <t>Interruptor mecánico momentáneo</t>
        </is>
      </c>
      <c r="F143" s="5" t="inlineStr">
        <is>
          <t>Voltaje máximo 250 VAC</t>
        </is>
      </c>
    </row>
    <row r="144">
      <c r="A144" s="4">
        <f>ROW()-4</f>
        <v/>
      </c>
      <c r="B144" s="4" t="inlineStr">
        <is>
          <t>783</t>
        </is>
      </c>
      <c r="C144" s="4" t="inlineStr">
        <is>
          <t>Componentes</t>
        </is>
      </c>
      <c r="D144" s="5" t="inlineStr">
        <is>
          <t>XH-M239</t>
        </is>
      </c>
      <c r="E144" s="5" t="inlineStr">
        <is>
          <t>Probador de capacidad de baterías de litio</t>
        </is>
      </c>
      <c r="F144" s="5" t="inlineStr">
        <is>
          <t>Diseñado para baterías de litio 18650</t>
        </is>
      </c>
    </row>
    <row r="145">
      <c r="A145" s="4">
        <f>ROW()-4</f>
        <v/>
      </c>
      <c r="B145" s="4" t="inlineStr">
        <is>
          <t>784</t>
        </is>
      </c>
      <c r="C145" s="4" t="inlineStr">
        <is>
          <t>Placas</t>
        </is>
      </c>
      <c r="D145" s="5" t="inlineStr">
        <is>
          <t>PCB con Arduino RedBeard</t>
        </is>
      </c>
      <c r="E145" s="5" t="inlineStr"/>
      <c r="F145" s="5" t="inlineStr"/>
    </row>
    <row r="146">
      <c r="A146" s="4">
        <f>ROW()-4</f>
        <v/>
      </c>
      <c r="B146" s="4" t="inlineStr">
        <is>
          <t>785</t>
        </is>
      </c>
      <c r="C146" s="4" t="inlineStr">
        <is>
          <t>Placas</t>
        </is>
      </c>
      <c r="D146" s="5" t="inlineStr">
        <is>
          <t>Arduino UNO</t>
        </is>
      </c>
      <c r="E146" s="5" t="inlineStr">
        <is>
          <t>Prototipado y control básico de sistemas electrónicos</t>
        </is>
      </c>
      <c r="F146" s="5" t="inlineStr">
        <is>
          <t>Voltaje de operación 5.0 V. Microcontrolador ATmega328P</t>
        </is>
      </c>
    </row>
    <row r="147">
      <c r="A147" s="4">
        <f>ROW()-4</f>
        <v/>
      </c>
      <c r="B147" s="4" t="inlineStr">
        <is>
          <t>786</t>
        </is>
      </c>
      <c r="C147" s="4" t="inlineStr">
        <is>
          <t>Placas</t>
        </is>
      </c>
      <c r="D147" s="5" t="inlineStr">
        <is>
          <t>ESP8266MOD</t>
        </is>
      </c>
      <c r="E147" s="5" t="inlineStr">
        <is>
          <t>Unicamente WIFI</t>
        </is>
      </c>
      <c r="F147" s="5" t="inlineStr">
        <is>
          <t>Voltaje de operación 3.3 V. Conectividad WiFi</t>
        </is>
      </c>
    </row>
    <row r="148">
      <c r="A148" s="4">
        <f>ROW()-4</f>
        <v/>
      </c>
      <c r="B148" s="4" t="inlineStr">
        <is>
          <t>787</t>
        </is>
      </c>
      <c r="C148" s="4" t="inlineStr">
        <is>
          <t>Placas</t>
        </is>
      </c>
      <c r="D148" s="5" t="inlineStr">
        <is>
          <t>ESP32</t>
        </is>
      </c>
      <c r="E148" s="5" t="inlineStr">
        <is>
          <t>Con Bluethooth y WIFI</t>
        </is>
      </c>
      <c r="F148" s="5" t="inlineStr">
        <is>
          <t>Voltaje de operación 3.3 V. Conectividad WiFi y Bluetooth</t>
        </is>
      </c>
    </row>
    <row r="149">
      <c r="A149" s="4">
        <f>ROW()-4</f>
        <v/>
      </c>
      <c r="B149" s="4" t="inlineStr">
        <is>
          <t>788</t>
        </is>
      </c>
      <c r="C149" s="4" t="inlineStr">
        <is>
          <t>Placas</t>
        </is>
      </c>
      <c r="D149" s="5" t="inlineStr">
        <is>
          <t>Crowduino</t>
        </is>
      </c>
      <c r="E149" s="5" t="inlineStr">
        <is>
          <t>Placa compatible con Arduino UNO</t>
        </is>
      </c>
      <c r="F149" s="5" t="inlineStr">
        <is>
          <t>Voltaje de operación 5.0 V. Compatible con Arduino UNO</t>
        </is>
      </c>
    </row>
    <row r="150">
      <c r="A150" s="4">
        <f>ROW()-4</f>
        <v/>
      </c>
      <c r="B150" s="4" t="inlineStr">
        <is>
          <t>789</t>
        </is>
      </c>
      <c r="C150" s="4" t="inlineStr">
        <is>
          <t>Placas</t>
        </is>
      </c>
      <c r="D150" s="5" t="inlineStr">
        <is>
          <t>Arduino Leonardo</t>
        </is>
      </c>
      <c r="E150" s="5" t="inlineStr">
        <is>
          <t>Permite conectarse al computador y funcionar como teclado o mouse</t>
        </is>
      </c>
      <c r="F150" s="5" t="inlineStr">
        <is>
          <t>Voltaje de operación 5.0 V. Microcontrolador ATmega32U4</t>
        </is>
      </c>
    </row>
    <row r="151">
      <c r="A151" s="4">
        <f>ROW()-4</f>
        <v/>
      </c>
      <c r="B151" s="4" t="inlineStr">
        <is>
          <t>790</t>
        </is>
      </c>
      <c r="C151" s="4" t="inlineStr">
        <is>
          <t>Placas</t>
        </is>
      </c>
      <c r="D151" s="5" t="inlineStr">
        <is>
          <t>Arduino Pro Micro</t>
        </is>
      </c>
      <c r="E151" s="5" t="inlineStr">
        <is>
          <t>Emulación teclado/control/mouse compacta</t>
        </is>
      </c>
      <c r="F151" s="5" t="inlineStr">
        <is>
          <t>Voltaje de operación 5.0 V. Microcontrolador ATmega32U4</t>
        </is>
      </c>
    </row>
    <row r="152">
      <c r="A152" s="4">
        <f>ROW()-4</f>
        <v/>
      </c>
      <c r="B152" s="4" t="inlineStr">
        <is>
          <t>791</t>
        </is>
      </c>
      <c r="C152" s="4" t="inlineStr">
        <is>
          <t>Placas</t>
        </is>
      </c>
      <c r="D152" s="5" t="inlineStr">
        <is>
          <t>Arduino Nano 33 Ble</t>
        </is>
      </c>
      <c r="E152" s="5" t="inlineStr">
        <is>
          <t>Proyectos IoT y wearables, Proyectos conectados por Bluetooth, como relojes o sensores</t>
        </is>
      </c>
      <c r="F152" s="5" t="inlineStr">
        <is>
          <t>Voltaje de operación 3.3 V. Conectividad Bluetooth Low Energy</t>
        </is>
      </c>
    </row>
    <row r="153">
      <c r="A153" s="4">
        <f>ROW()-4</f>
        <v/>
      </c>
      <c r="B153" s="4" t="inlineStr">
        <is>
          <t>792</t>
        </is>
      </c>
      <c r="C153" s="4" t="inlineStr">
        <is>
          <t>Placas</t>
        </is>
      </c>
      <c r="D153" s="5" t="inlineStr">
        <is>
          <t>Arduino doc 2</t>
        </is>
      </c>
      <c r="E153" s="5" t="inlineStr">
        <is>
          <t>WIFI, Equipo que conecta sensores a internet (Gateway IoT)</t>
        </is>
      </c>
      <c r="F153" s="5" t="inlineStr">
        <is>
          <t>Voltaje de operación 5.0 V</t>
        </is>
      </c>
    </row>
    <row r="154">
      <c r="A154" s="4">
        <f>ROW()-4</f>
        <v/>
      </c>
      <c r="B154" s="4" t="inlineStr">
        <is>
          <t>793</t>
        </is>
      </c>
      <c r="C154" s="4" t="inlineStr">
        <is>
          <t>Placas</t>
        </is>
      </c>
      <c r="D154" s="5" t="inlineStr">
        <is>
          <t>Raspberry Pi Pico</t>
        </is>
      </c>
      <c r="E154" s="5" t="inlineStr">
        <is>
          <t>Flexible sin conectividad inalámbrica</t>
        </is>
      </c>
      <c r="F154" s="5" t="inlineStr">
        <is>
          <t>Voltaje de operación 3.3 V. Microcontrolador RP2040</t>
        </is>
      </c>
    </row>
    <row r="155">
      <c r="A155" s="4">
        <f>ROW()-4</f>
        <v/>
      </c>
      <c r="B155" s="4" t="inlineStr">
        <is>
          <t>794</t>
        </is>
      </c>
      <c r="C155" s="4" t="inlineStr">
        <is>
          <t>Placas</t>
        </is>
      </c>
      <c r="D155" s="5" t="inlineStr">
        <is>
          <t>Raspberry Pi Pico W</t>
        </is>
      </c>
      <c r="E155" s="5" t="inlineStr">
        <is>
          <t>Con Bluethooth y WIFI</t>
        </is>
      </c>
      <c r="F155" s="5" t="inlineStr">
        <is>
          <t>Voltaje de operación 3.3 V. Microcontrolador RP2040. Conectividad WiFi</t>
        </is>
      </c>
    </row>
    <row r="156">
      <c r="A156" s="4">
        <f>ROW()-4</f>
        <v/>
      </c>
      <c r="B156" s="4" t="inlineStr">
        <is>
          <t>795</t>
        </is>
      </c>
      <c r="C156" s="4" t="inlineStr">
        <is>
          <t>Placas</t>
        </is>
      </c>
      <c r="D156" s="5" t="inlineStr">
        <is>
          <t>Raspberry Pi Zero 1.3</t>
        </is>
      </c>
      <c r="E156" s="5" t="inlineStr">
        <is>
          <t>Mini computador para proyectos pequeños</t>
        </is>
      </c>
      <c r="F156" s="5" t="inlineStr">
        <is>
          <t>Voltaje de operación 5.0 V</t>
        </is>
      </c>
    </row>
    <row r="157">
      <c r="A157" s="4">
        <f>ROW()-4</f>
        <v/>
      </c>
      <c r="B157" s="4" t="inlineStr">
        <is>
          <t>796</t>
        </is>
      </c>
      <c r="C157" s="4" t="inlineStr">
        <is>
          <t>Placas</t>
        </is>
      </c>
      <c r="D157" s="5" t="inlineStr">
        <is>
          <t>Raspberry Pi 3 Model B+</t>
        </is>
      </c>
      <c r="E157" s="5" t="inlineStr">
        <is>
          <t>Versátil, es como un PC (ideal juegos/robótica)</t>
        </is>
      </c>
      <c r="F157" s="5" t="inlineStr">
        <is>
          <t>Voltaje de operación 5.0 V. Conectividad WiFi y Ethernet</t>
        </is>
      </c>
    </row>
    <row r="158">
      <c r="A158" s="4">
        <f>ROW()-4</f>
        <v/>
      </c>
      <c r="B158" s="4" t="inlineStr">
        <is>
          <t>797</t>
        </is>
      </c>
      <c r="C158" s="4" t="inlineStr">
        <is>
          <t>Placas</t>
        </is>
      </c>
      <c r="D158" s="5" t="inlineStr">
        <is>
          <t>ESP32 MOD UAI</t>
        </is>
      </c>
      <c r="E158" s="5" t="inlineStr">
        <is>
          <t>Sensor de humedad y temperatura, giroscópio</t>
        </is>
      </c>
      <c r="F158" s="5" t="inlineStr">
        <is>
          <t>Voltaje de operación 3.3 V. Conectividad WiFi y Bluetooth</t>
        </is>
      </c>
    </row>
    <row r="159">
      <c r="A159" s="4">
        <f>ROW()-4</f>
        <v/>
      </c>
      <c r="B159" s="4" t="inlineStr">
        <is>
          <t>798</t>
        </is>
      </c>
      <c r="C159" s="4" t="inlineStr">
        <is>
          <t>Placas</t>
        </is>
      </c>
      <c r="D159" s="5" t="inlineStr">
        <is>
          <t>RedBearLab Blend Micro v1.0</t>
        </is>
      </c>
      <c r="E159" s="5" t="inlineStr">
        <is>
          <t>Proyectos Bluetooth Low Energy</t>
        </is>
      </c>
      <c r="F159" s="5" t="inlineStr">
        <is>
          <t>Voltaje de operación 3.3 V. Conectividad Bluetooth Low Energy</t>
        </is>
      </c>
    </row>
    <row r="160">
      <c r="A160" s="4">
        <f>ROW()-4</f>
        <v/>
      </c>
      <c r="B160" s="4" t="inlineStr">
        <is>
          <t>799</t>
        </is>
      </c>
      <c r="C160" s="4" t="inlineStr">
        <is>
          <t>Placas</t>
        </is>
      </c>
      <c r="D160" s="5" t="inlineStr">
        <is>
          <t>Teensy 4.0</t>
        </is>
      </c>
      <c r="E160" s="5" t="inlineStr">
        <is>
          <t>Procesamiento de alta velocidad</t>
        </is>
      </c>
      <c r="F160" s="5" t="inlineStr">
        <is>
          <t>Voltaje de operación 3.3 V. Microcontrolador ARM Cortex-M7</t>
        </is>
      </c>
    </row>
    <row r="161">
      <c r="A161" s="4">
        <f>ROW()-4</f>
        <v/>
      </c>
      <c r="B161" s="4" t="inlineStr">
        <is>
          <t>800</t>
        </is>
      </c>
      <c r="C161" s="4" t="inlineStr">
        <is>
          <t>Placas</t>
        </is>
      </c>
      <c r="D161" s="5" t="inlineStr">
        <is>
          <t>Teensy 4.1</t>
        </is>
      </c>
      <c r="E161" s="5" t="inlineStr">
        <is>
          <t>Procesamiento de alta velocidad</t>
        </is>
      </c>
      <c r="F161" s="5" t="inlineStr">
        <is>
          <t>Voltaje de operación 3.3 V. Microcontrolador ARM Cortex-M7</t>
        </is>
      </c>
    </row>
    <row r="162">
      <c r="A162" s="4">
        <f>ROW()-4</f>
        <v/>
      </c>
      <c r="B162" s="4" t="inlineStr">
        <is>
          <t>801</t>
        </is>
      </c>
      <c r="C162" s="4" t="inlineStr">
        <is>
          <t>Prototipado</t>
        </is>
      </c>
      <c r="D162" s="5" t="inlineStr">
        <is>
          <t>Protoboard 170</t>
        </is>
      </c>
      <c r="E162" s="5" t="inlineStr">
        <is>
          <t>Base pruebas</t>
        </is>
      </c>
      <c r="F162" s="5" t="inlineStr">
        <is>
          <t>Número de puntos 170</t>
        </is>
      </c>
    </row>
    <row r="163">
      <c r="A163" s="4">
        <f>ROW()-4</f>
        <v/>
      </c>
      <c r="B163" s="4" t="inlineStr">
        <is>
          <t>802</t>
        </is>
      </c>
      <c r="C163" s="4" t="inlineStr">
        <is>
          <t>Prototipado</t>
        </is>
      </c>
      <c r="D163" s="5" t="inlineStr">
        <is>
          <t>Protoboard 400</t>
        </is>
      </c>
      <c r="E163" s="5" t="inlineStr">
        <is>
          <t>Base pruebas</t>
        </is>
      </c>
      <c r="F163" s="5" t="inlineStr">
        <is>
          <t>Número de puntos 400</t>
        </is>
      </c>
    </row>
    <row r="164">
      <c r="A164" s="4">
        <f>ROW()-4</f>
        <v/>
      </c>
      <c r="B164" s="4" t="inlineStr">
        <is>
          <t>803</t>
        </is>
      </c>
      <c r="C164" s="4" t="inlineStr">
        <is>
          <t>Prototipado</t>
        </is>
      </c>
      <c r="D164" s="5" t="inlineStr">
        <is>
          <t>Protoboard 800</t>
        </is>
      </c>
      <c r="E164" s="5" t="inlineStr">
        <is>
          <t>Base pruebas</t>
        </is>
      </c>
      <c r="F164" s="5" t="inlineStr">
        <is>
          <t>Número de puntos 800</t>
        </is>
      </c>
    </row>
    <row r="165">
      <c r="A165" s="4">
        <f>ROW()-4</f>
        <v/>
      </c>
      <c r="B165" s="4" t="inlineStr">
        <is>
          <t>804</t>
        </is>
      </c>
      <c r="C165" s="4" t="inlineStr">
        <is>
          <t>Kit</t>
        </is>
      </c>
      <c r="D165" s="5" t="inlineStr">
        <is>
          <t>Pack Higométrico (YL38/YL69)</t>
        </is>
      </c>
      <c r="E165" s="5" t="inlineStr">
        <is>
          <t>Humedad Suelo</t>
        </is>
      </c>
      <c r="F165" s="5" t="inlineStr">
        <is>
          <t>Voltaje de operación 3.3 V/5.0 V</t>
        </is>
      </c>
    </row>
    <row r="166">
      <c r="A166" s="4">
        <f>ROW()-4</f>
        <v/>
      </c>
      <c r="B166" s="4" t="inlineStr">
        <is>
          <t>805</t>
        </is>
      </c>
      <c r="C166" s="4" t="inlineStr">
        <is>
          <t>Kit</t>
        </is>
      </c>
      <c r="D166" s="5" t="inlineStr">
        <is>
          <t>Pack MH-RD Raindrops module</t>
        </is>
      </c>
      <c r="E166" s="5" t="inlineStr">
        <is>
          <t>Presencia e intensidad de lluvia</t>
        </is>
      </c>
      <c r="F166" s="5" t="inlineStr">
        <is>
          <t>Voltaje de operación 3.3 V/5.0 V</t>
        </is>
      </c>
    </row>
    <row r="167">
      <c r="A167" s="4">
        <f>ROW()-4</f>
        <v/>
      </c>
      <c r="B167" s="4" t="inlineStr">
        <is>
          <t>806</t>
        </is>
      </c>
      <c r="C167" s="4" t="inlineStr">
        <is>
          <t>Kit</t>
        </is>
      </c>
      <c r="D167" s="5" t="inlineStr">
        <is>
          <t>Raspberry Pi Zero 2 Barnones Kit</t>
        </is>
      </c>
      <c r="E167" s="5" t="inlineStr">
        <is>
          <t>Mini computador para proyectos pequeños</t>
        </is>
      </c>
      <c r="F167" s="5" t="inlineStr">
        <is>
          <t>Voltaje de operación 5.0 V</t>
        </is>
      </c>
    </row>
    <row r="168">
      <c r="A168" s="4">
        <f>ROW()-4</f>
        <v/>
      </c>
      <c r="B168" s="4" t="inlineStr">
        <is>
          <t>807</t>
        </is>
      </c>
      <c r="C168" s="4" t="inlineStr">
        <is>
          <t>Kit</t>
        </is>
      </c>
      <c r="D168" s="5" t="inlineStr">
        <is>
          <t>Kit Raspberry Pi 3 Model B+</t>
        </is>
      </c>
      <c r="E168" s="5" t="inlineStr">
        <is>
          <t>Con la camara</t>
        </is>
      </c>
      <c r="F168" s="5" t="inlineStr">
        <is>
          <t>Voltaje de operación 5.0 V</t>
        </is>
      </c>
    </row>
    <row r="169">
      <c r="A169" s="4">
        <f>ROW()-4</f>
        <v/>
      </c>
      <c r="B169" s="4" t="inlineStr">
        <is>
          <t>808</t>
        </is>
      </c>
      <c r="C169" s="4" t="inlineStr">
        <is>
          <t>Kit</t>
        </is>
      </c>
      <c r="D169" s="5" t="inlineStr">
        <is>
          <t>Arduino LilyPad Protosnap Plus Kit</t>
        </is>
      </c>
      <c r="E169" s="5" t="inlineStr">
        <is>
          <t>Kit de prototipado de electrónica cosible (e-textil)</t>
        </is>
      </c>
      <c r="F169" s="5" t="inlineStr">
        <is>
          <t>1 boton, 8 LEDs, 1 switch, 1 bateria, 1 buzzer, 1 bateria, 1 light sensor, 1 rollo de hilo.</t>
        </is>
      </c>
    </row>
    <row r="170">
      <c r="A170" s="4">
        <f>ROW()-4</f>
        <v/>
      </c>
      <c r="B170" s="4" t="inlineStr">
        <is>
          <t>809</t>
        </is>
      </c>
      <c r="C170" s="4" t="inlineStr">
        <is>
          <t>Kit</t>
        </is>
      </c>
      <c r="D170" s="5" t="inlineStr">
        <is>
          <t>MD-TSW-20M (modulo) y TSW-20M (sensor)</t>
        </is>
      </c>
      <c r="E170" s="5" t="inlineStr">
        <is>
          <t>Sensor de Turbidez de liquidos</t>
        </is>
      </c>
      <c r="F170" s="5" t="inlineStr">
        <is>
          <t>Voltaje de operación 5.0 V</t>
        </is>
      </c>
    </row>
    <row r="171">
      <c r="A171" s="4">
        <f>ROW()-4</f>
        <v/>
      </c>
      <c r="B171" s="4" t="inlineStr">
        <is>
          <t>810</t>
        </is>
      </c>
      <c r="C171" s="4" t="inlineStr">
        <is>
          <t>Kit</t>
        </is>
      </c>
      <c r="D171" s="5" t="inlineStr">
        <is>
          <t>PT1000-RTD Platino y RTD PT100</t>
        </is>
      </c>
      <c r="E171" s="5" t="inlineStr">
        <is>
          <t>Sensor de temperatura y transmisor que convierte la señal del sensor</t>
        </is>
      </c>
      <c r="F171" s="5" t="inlineStr">
        <is>
          <t>RTD PT100 y PT1000</t>
        </is>
      </c>
    </row>
    <row r="172">
      <c r="A172" s="4">
        <f>ROW()-4</f>
        <v/>
      </c>
      <c r="B172" s="4" t="inlineStr">
        <is>
          <t>811</t>
        </is>
      </c>
      <c r="C172" s="4" t="inlineStr">
        <is>
          <t>Kit</t>
        </is>
      </c>
      <c r="D172" s="5" t="inlineStr">
        <is>
          <t>Kit de SM-S3317SR</t>
        </is>
      </c>
      <c r="E172" s="5" t="inlineStr">
        <is>
          <t>Servomotor de rotación continua y sets de engranajes</t>
        </is>
      </c>
      <c r="F172" s="5" t="inlineStr">
        <is>
          <t>Voltaje de operación 5.0 V</t>
        </is>
      </c>
    </row>
    <row r="173">
      <c r="A173" s="4">
        <f>ROW()-4</f>
        <v/>
      </c>
      <c r="B173" s="4" t="inlineStr">
        <is>
          <t>812</t>
        </is>
      </c>
      <c r="C173" s="4" t="inlineStr">
        <is>
          <t>Kit</t>
        </is>
      </c>
      <c r="D173" s="5" t="inlineStr">
        <is>
          <t>Kit componentes servomotores desordenados</t>
        </is>
      </c>
      <c r="E173" s="5" t="inlineStr">
        <is>
          <t>Kit para servomotores, tales como engranajes</t>
        </is>
      </c>
      <c r="F173" s="5" t="inlineStr">
        <is>
          <t>Voltaje de operación 4.8–6.0 V</t>
        </is>
      </c>
    </row>
    <row r="174">
      <c r="A174" s="4">
        <f>ROW()-4</f>
        <v/>
      </c>
      <c r="B174" s="4" t="inlineStr">
        <is>
          <t>813</t>
        </is>
      </c>
      <c r="C174" s="4" t="inlineStr">
        <is>
          <t>Kit</t>
        </is>
      </c>
      <c r="D174" s="5" t="inlineStr">
        <is>
          <t>Pack Olimex Shield EKG/EMG</t>
        </is>
      </c>
      <c r="E174" s="5" t="inlineStr">
        <is>
          <t>Permite capturar señales de electrocardiografía (EKG) y electromiografía (EMG)</t>
        </is>
      </c>
      <c r="F174" s="5" t="inlineStr">
        <is>
          <t>Compatibilidad con placas Arduino</t>
        </is>
      </c>
    </row>
    <row r="175">
      <c r="A175" s="4">
        <f>ROW()-4</f>
        <v/>
      </c>
      <c r="B175" s="4" t="inlineStr">
        <is>
          <t>814</t>
        </is>
      </c>
      <c r="C175" s="4" t="inlineStr">
        <is>
          <t>Celda de carga</t>
        </is>
      </c>
      <c r="D175" s="5" t="inlineStr">
        <is>
          <t>50 Kg</t>
        </is>
      </c>
      <c r="E175" s="5" t="inlineStr">
        <is>
          <t>Transductor</t>
        </is>
      </c>
      <c r="F175" s="5" t="inlineStr">
        <is>
          <t>Capacidad máxima 50 kg</t>
        </is>
      </c>
    </row>
    <row r="176">
      <c r="A176" s="4">
        <f>ROW()-4</f>
        <v/>
      </c>
      <c r="B176" s="4" t="inlineStr">
        <is>
          <t>815</t>
        </is>
      </c>
      <c r="C176" s="4" t="inlineStr">
        <is>
          <t>Celda de carga</t>
        </is>
      </c>
      <c r="D176" s="5" t="inlineStr">
        <is>
          <t>5 Kg</t>
        </is>
      </c>
      <c r="E176" s="5" t="inlineStr">
        <is>
          <t>Transductor</t>
        </is>
      </c>
      <c r="F176" s="5" t="inlineStr">
        <is>
          <t>Capacidad máxima 5 kg</t>
        </is>
      </c>
    </row>
    <row r="177">
      <c r="A177" s="4">
        <f>ROW()-4</f>
        <v/>
      </c>
      <c r="B177" s="4" t="inlineStr">
        <is>
          <t>816</t>
        </is>
      </c>
      <c r="C177" s="4" t="inlineStr">
        <is>
          <t>Celda de carga</t>
        </is>
      </c>
      <c r="D177" s="5" t="inlineStr">
        <is>
          <t>2 Kg</t>
        </is>
      </c>
      <c r="E177" s="5" t="inlineStr">
        <is>
          <t>Transductor</t>
        </is>
      </c>
      <c r="F177" s="5" t="inlineStr">
        <is>
          <t>Capacidad máxima 2 kg</t>
        </is>
      </c>
    </row>
    <row r="178">
      <c r="A178" s="4">
        <f>ROW()-4</f>
        <v/>
      </c>
      <c r="B178" s="4" t="inlineStr">
        <is>
          <t>817</t>
        </is>
      </c>
      <c r="C178" s="4" t="inlineStr">
        <is>
          <t>Bomba</t>
        </is>
      </c>
      <c r="D178" s="5" t="inlineStr">
        <is>
          <t>Mini bomba de agua sumergible</t>
        </is>
      </c>
      <c r="E178" s="5" t="inlineStr">
        <is>
          <t>Convierte energía eléctrica en movimiento de agua.</t>
        </is>
      </c>
      <c r="F178" s="5" t="inlineStr">
        <is>
          <t>Voltaje de operación 3.0–6.0 V</t>
        </is>
      </c>
    </row>
    <row r="179">
      <c r="A179" s="4">
        <f>ROW()-4</f>
        <v/>
      </c>
      <c r="B179" s="4" t="inlineStr">
        <is>
          <t>818</t>
        </is>
      </c>
      <c r="C179" s="4" t="inlineStr">
        <is>
          <t>Bomba</t>
        </is>
      </c>
      <c r="D179" s="5" t="inlineStr">
        <is>
          <t>Javtop JT-280T</t>
        </is>
      </c>
      <c r="E179" s="5" t="inlineStr">
        <is>
          <t>Bomba de agua sumergible impulsa, traslada y eleva agua</t>
        </is>
      </c>
      <c r="F179" s="5" t="inlineStr">
        <is>
          <t>Voltaje de operación DC 6–18 V</t>
        </is>
      </c>
    </row>
    <row r="180">
      <c r="A180" s="4">
        <f>ROW()-4</f>
        <v/>
      </c>
      <c r="B180" s="4" t="inlineStr">
        <is>
          <t>819</t>
        </is>
      </c>
      <c r="C180" s="4" t="inlineStr">
        <is>
          <t>Baterías</t>
        </is>
      </c>
      <c r="D180" s="5" t="inlineStr">
        <is>
          <t>PAW-68</t>
        </is>
      </c>
      <c r="E180" s="5" t="inlineStr">
        <is>
          <t>Batería/cargador portatil</t>
        </is>
      </c>
      <c r="F180" s="5" t="inlineStr">
        <is>
          <t>Voltaje nominal 3.7 V</t>
        </is>
      </c>
    </row>
    <row r="181">
      <c r="A181" s="4">
        <f>ROW()-4</f>
        <v/>
      </c>
      <c r="B181" s="4" t="inlineStr">
        <is>
          <t>820</t>
        </is>
      </c>
      <c r="C181" s="4" t="inlineStr">
        <is>
          <t>Baterías</t>
        </is>
      </c>
      <c r="D181" s="5" t="inlineStr">
        <is>
          <t>Batería 9V</t>
        </is>
      </c>
      <c r="E181" s="5" t="inlineStr">
        <is>
          <t>Baterías recargables de ion de litio (Li-ion)</t>
        </is>
      </c>
      <c r="F181" s="5" t="inlineStr">
        <is>
          <t>Voltaje nominal 9.0 V</t>
        </is>
      </c>
    </row>
    <row r="182">
      <c r="A182" s="4">
        <f>ROW()-4</f>
        <v/>
      </c>
      <c r="B182" s="4" t="inlineStr">
        <is>
          <t>821</t>
        </is>
      </c>
      <c r="C182" s="4" t="inlineStr">
        <is>
          <t>Baterías</t>
        </is>
      </c>
      <c r="D182" s="5" t="inlineStr">
        <is>
          <t>Batería De Lithium Ion 300mah 4.6v Litio</t>
        </is>
      </c>
      <c r="E182" s="5" t="inlineStr">
        <is>
          <t>Baterías recargables de ion de litio (Li-ion)</t>
        </is>
      </c>
      <c r="F182" s="5" t="inlineStr">
        <is>
          <t>Voltaje nominal 4.6 V. Capacidad 300 mAh</t>
        </is>
      </c>
    </row>
    <row r="183">
      <c r="A183" s="4">
        <f>ROW()-4</f>
        <v/>
      </c>
      <c r="B183" s="4" t="inlineStr">
        <is>
          <t>822</t>
        </is>
      </c>
      <c r="C183" s="4" t="inlineStr">
        <is>
          <t>Baterías</t>
        </is>
      </c>
      <c r="D183" s="5" t="inlineStr">
        <is>
          <t>Batería Gens ACE 2200 mAh</t>
        </is>
      </c>
      <c r="E183" s="5" t="inlineStr">
        <is>
          <t>Baterías para drones</t>
        </is>
      </c>
      <c r="F183" s="5" t="inlineStr">
        <is>
          <t>Voltaje nominal 11.1 V. Capacidad 2200 mAh</t>
        </is>
      </c>
    </row>
    <row r="184">
      <c r="A184" s="4">
        <f>ROW()-4</f>
        <v/>
      </c>
      <c r="B184" s="4" t="inlineStr">
        <is>
          <t>823</t>
        </is>
      </c>
      <c r="C184" s="4" t="inlineStr">
        <is>
          <t>Motor</t>
        </is>
      </c>
      <c r="D184" s="5" t="inlineStr">
        <is>
          <t>ROB-11696</t>
        </is>
      </c>
      <c r="E184" s="5" t="inlineStr">
        <is>
          <t>Motor de corriente continua</t>
        </is>
      </c>
      <c r="F184" s="5" t="inlineStr">
        <is>
          <t>Voltaje de operación 3.0 V</t>
        </is>
      </c>
    </row>
    <row r="185">
      <c r="A185" s="4">
        <f>ROW()-4</f>
        <v/>
      </c>
      <c r="B185" s="4" t="inlineStr">
        <is>
          <t>824</t>
        </is>
      </c>
      <c r="C185" s="4" t="inlineStr">
        <is>
          <t>Motor</t>
        </is>
      </c>
      <c r="D185" s="5" t="inlineStr">
        <is>
          <t>WS-25GA370R</t>
        </is>
      </c>
      <c r="E185" s="5" t="inlineStr">
        <is>
          <t>Motorreductor de corriente continua</t>
        </is>
      </c>
      <c r="F185" s="5" t="inlineStr">
        <is>
          <t>Voltaje de operación 6–12 V</t>
        </is>
      </c>
    </row>
    <row r="186">
      <c r="A186" s="4">
        <f>ROW()-4</f>
        <v/>
      </c>
      <c r="B186" s="4" t="inlineStr">
        <is>
          <t>825</t>
        </is>
      </c>
      <c r="C186" s="4" t="inlineStr">
        <is>
          <t>Motor</t>
        </is>
      </c>
      <c r="D186" s="5" t="inlineStr">
        <is>
          <t>17pm k374bn02cn</t>
        </is>
      </c>
      <c r="E186" s="5" t="inlineStr">
        <is>
          <t>Motor paso a paso bipolar</t>
        </is>
      </c>
      <c r="F186" s="5" t="inlineStr">
        <is>
          <t>Voltaje de operación 12 V</t>
        </is>
      </c>
    </row>
    <row r="187">
      <c r="A187" s="4">
        <f>ROW()-4</f>
        <v/>
      </c>
      <c r="B187" s="4" t="inlineStr">
        <is>
          <t>826</t>
        </is>
      </c>
      <c r="C187" s="4" t="inlineStr">
        <is>
          <t>Motor</t>
        </is>
      </c>
      <c r="D187" s="5" t="inlineStr">
        <is>
          <t>28BYJ-48</t>
        </is>
      </c>
      <c r="E187" s="5" t="inlineStr">
        <is>
          <t>Motor paso a paso 4 fases</t>
        </is>
      </c>
      <c r="F187" s="5" t="inlineStr">
        <is>
          <t>Voltaje de operación 5.0 V</t>
        </is>
      </c>
    </row>
    <row r="188">
      <c r="A188" s="4">
        <f>ROW()-4</f>
        <v/>
      </c>
      <c r="B188" s="4" t="inlineStr">
        <is>
          <t>827</t>
        </is>
      </c>
      <c r="C188" s="4" t="inlineStr">
        <is>
          <t>Motor</t>
        </is>
      </c>
      <c r="D188" s="5" t="inlineStr">
        <is>
          <t>RK-500TB</t>
        </is>
      </c>
      <c r="E188" s="5" t="inlineStr">
        <is>
          <t>Motor de husillo redonde de CC</t>
        </is>
      </c>
      <c r="F188" s="5" t="inlineStr">
        <is>
          <t>Voltaje de operación 6–12 V</t>
        </is>
      </c>
    </row>
    <row r="189">
      <c r="A189" s="4">
        <f>ROW()-4</f>
        <v/>
      </c>
      <c r="B189" s="4" t="inlineStr">
        <is>
          <t>828</t>
        </is>
      </c>
      <c r="C189" s="4" t="inlineStr">
        <is>
          <t>Motor</t>
        </is>
      </c>
      <c r="D189" s="5" t="inlineStr">
        <is>
          <t>SG90</t>
        </is>
      </c>
      <c r="E189" s="5" t="inlineStr">
        <is>
          <t>Servomotor ideal para aplicaciones de bajo torque y peso, especialmente en proyectos educativos y de prototipado</t>
        </is>
      </c>
      <c r="F189" s="5" t="inlineStr">
        <is>
          <t>Voltaje de operación 4.0–7.2 V</t>
        </is>
      </c>
    </row>
    <row r="190">
      <c r="A190" s="4">
        <f>ROW()-4</f>
        <v/>
      </c>
      <c r="B190" s="4" t="inlineStr">
        <is>
          <t>829</t>
        </is>
      </c>
      <c r="C190" s="4" t="inlineStr">
        <is>
          <t>Motor</t>
        </is>
      </c>
      <c r="D190" s="5" t="inlineStr">
        <is>
          <t>Motorreductor DC amarillo</t>
        </is>
      </c>
      <c r="E190" s="5" t="inlineStr">
        <is>
          <t>TT motor</t>
        </is>
      </c>
      <c r="F190" s="5" t="inlineStr">
        <is>
          <t>Voltaje de operación 3–6 V</t>
        </is>
      </c>
    </row>
    <row r="191">
      <c r="A191" s="4">
        <f>ROW()-4</f>
        <v/>
      </c>
      <c r="B191" s="4" t="inlineStr">
        <is>
          <t>830</t>
        </is>
      </c>
      <c r="C191" s="4" t="inlineStr">
        <is>
          <t>Motor</t>
        </is>
      </c>
      <c r="D191" s="5" t="inlineStr">
        <is>
          <t>49TYD-5E 10</t>
        </is>
      </c>
      <c r="E191" s="5" t="inlineStr">
        <is>
          <t>Motor sincrono de corriente alterna</t>
        </is>
      </c>
      <c r="F191" s="5" t="inlineStr">
        <is>
          <t>Voltaje de operación 220–240 VAC</t>
        </is>
      </c>
    </row>
    <row r="192">
      <c r="A192" s="4">
        <f>ROW()-4</f>
        <v/>
      </c>
      <c r="B192" s="4" t="inlineStr">
        <is>
          <t>831</t>
        </is>
      </c>
      <c r="C192" s="4" t="inlineStr">
        <is>
          <t>Motor</t>
        </is>
      </c>
      <c r="D192" s="5" t="inlineStr">
        <is>
          <t>GS-3630BB</t>
        </is>
      </c>
      <c r="E192" s="5" t="inlineStr">
        <is>
          <t>Servomotor analógico estándar</t>
        </is>
      </c>
      <c r="F192" s="5" t="inlineStr">
        <is>
          <t>Voltaje de operación 4.8–6.0 V. Torque 3.0–6.5 kg·cm</t>
        </is>
      </c>
    </row>
    <row r="193">
      <c r="A193" s="4">
        <f>ROW()-4</f>
        <v/>
      </c>
      <c r="B193" s="4" t="inlineStr">
        <is>
          <t>832</t>
        </is>
      </c>
      <c r="C193" s="4" t="inlineStr">
        <is>
          <t>Motor</t>
        </is>
      </c>
      <c r="D193" s="5" t="inlineStr">
        <is>
          <t>MG996R</t>
        </is>
      </c>
      <c r="E193" s="5" t="inlineStr">
        <is>
          <t>Servomotor estándar</t>
        </is>
      </c>
      <c r="F193" s="5" t="inlineStr">
        <is>
          <t>Voltaje de operación 6.0 V. Torque 11 kg·cm</t>
        </is>
      </c>
    </row>
    <row r="194">
      <c r="A194" s="4">
        <f>ROW()-4</f>
        <v/>
      </c>
      <c r="B194" s="4" t="inlineStr">
        <is>
          <t>833</t>
        </is>
      </c>
      <c r="C194" s="4" t="inlineStr">
        <is>
          <t>Motor</t>
        </is>
      </c>
      <c r="D194" s="5" t="inlineStr">
        <is>
          <t>MG995</t>
        </is>
      </c>
      <c r="E194" s="5" t="inlineStr">
        <is>
          <t>Servomotor digital</t>
        </is>
      </c>
      <c r="F194" s="5" t="inlineStr">
        <is>
          <t>Voltaje de operación 4.8–6.0 V. Torque 10–15 kg·cm</t>
        </is>
      </c>
    </row>
    <row r="195">
      <c r="A195" s="4">
        <f>ROW()-4</f>
        <v/>
      </c>
      <c r="B195" s="4" t="inlineStr">
        <is>
          <t>834</t>
        </is>
      </c>
      <c r="C195" s="4" t="inlineStr">
        <is>
          <t>Motor</t>
        </is>
      </c>
      <c r="D195" s="5" t="inlineStr">
        <is>
          <t>SM-430R</t>
        </is>
      </c>
      <c r="E195" s="5" t="inlineStr">
        <is>
          <t>Servomotor de rotación continua</t>
        </is>
      </c>
      <c r="F195" s="5" t="inlineStr">
        <is>
          <t>Voltaje de operación 4.8–6.0 V. Torque 3.3–5.1 kg·cm</t>
        </is>
      </c>
    </row>
    <row r="196">
      <c r="A196" s="4">
        <f>ROW()-4</f>
        <v/>
      </c>
      <c r="B196" s="4" t="inlineStr">
        <is>
          <t>835</t>
        </is>
      </c>
      <c r="C196" s="4" t="inlineStr">
        <is>
          <t>Motor</t>
        </is>
      </c>
      <c r="D196" s="5" t="inlineStr">
        <is>
          <t>GM-5509MG</t>
        </is>
      </c>
      <c r="E196" s="5" t="inlineStr">
        <is>
          <t>Servomotor estándar</t>
        </is>
      </c>
      <c r="F196" s="5" t="inlineStr">
        <is>
          <t>Voltaje de operación 4.8–6.0 V. Torque 8.65–9.35 kg·cm</t>
        </is>
      </c>
    </row>
    <row r="197">
      <c r="A197" s="4">
        <f>ROW()-4</f>
        <v/>
      </c>
      <c r="B197" s="4" t="inlineStr">
        <is>
          <t>836</t>
        </is>
      </c>
      <c r="C197" s="4" t="inlineStr">
        <is>
          <t>Motor</t>
        </is>
      </c>
      <c r="D197" s="5" t="inlineStr">
        <is>
          <t>S05NF STD</t>
        </is>
      </c>
      <c r="E197" s="5" t="inlineStr">
        <is>
          <t>Servomotor mini</t>
        </is>
      </c>
      <c r="F197" s="5" t="inlineStr">
        <is>
          <t>Voltaje de operación 4.8–6.0 V. Torque 2.8–3.2 kg·cm</t>
        </is>
      </c>
    </row>
    <row r="198">
      <c r="A198" s="4">
        <f>ROW()-4</f>
        <v/>
      </c>
      <c r="B198" s="4" t="inlineStr">
        <is>
          <t>837</t>
        </is>
      </c>
      <c r="C198" s="4" t="inlineStr">
        <is>
          <t>Motor</t>
        </is>
      </c>
      <c r="D198" s="5" t="inlineStr">
        <is>
          <t>SM-S3317SR</t>
        </is>
      </c>
      <c r="E198" s="5" t="inlineStr">
        <is>
          <t>Servomotor de rotación continua</t>
        </is>
      </c>
      <c r="F198" s="5" t="inlineStr">
        <is>
          <t>Voltaje de operación 4.8 V. Torque 2.1 kg·cm</t>
        </is>
      </c>
    </row>
    <row r="199">
      <c r="A199" s="4">
        <f>ROW()-4</f>
        <v/>
      </c>
      <c r="B199" s="4" t="inlineStr">
        <is>
          <t>838</t>
        </is>
      </c>
      <c r="C199" s="4" t="inlineStr">
        <is>
          <t>Motor</t>
        </is>
      </c>
      <c r="D199" s="5" t="inlineStr">
        <is>
          <t>GS-9018MG</t>
        </is>
      </c>
      <c r="E199" s="5" t="inlineStr">
        <is>
          <t>Servomotor mini</t>
        </is>
      </c>
      <c r="F199" s="5" t="inlineStr">
        <is>
          <t>Voltaje de operación 4.8–6.0 V</t>
        </is>
      </c>
    </row>
    <row r="200">
      <c r="A200" s="4">
        <f>ROW()-4</f>
        <v/>
      </c>
      <c r="B200" s="4" t="inlineStr">
        <is>
          <t>839</t>
        </is>
      </c>
      <c r="C200" s="4" t="inlineStr">
        <is>
          <t>Cables</t>
        </is>
      </c>
      <c r="D200" s="5" t="inlineStr">
        <is>
          <t>Cargador Bateria 9V</t>
        </is>
      </c>
      <c r="E200" s="5" t="inlineStr">
        <is>
          <t>Permite recargar baterías de 9 V</t>
        </is>
      </c>
      <c r="F200" s="5" t="inlineStr">
        <is>
          <t>Voltaje de salida 9.0 V</t>
        </is>
      </c>
    </row>
    <row r="201">
      <c r="A201" s="4">
        <f>ROW()-4</f>
        <v/>
      </c>
      <c r="B201" s="4" t="inlineStr">
        <is>
          <t>840</t>
        </is>
      </c>
      <c r="C201" s="4" t="inlineStr">
        <is>
          <t>Cables</t>
        </is>
      </c>
      <c r="D201" s="5" t="inlineStr">
        <is>
          <t>Enchufe USB A doble</t>
        </is>
      </c>
      <c r="E201" s="5" t="inlineStr">
        <is>
          <t>Proporciona dos salidas USB tipo A para alimentar o cargar dispositivos</t>
        </is>
      </c>
      <c r="F201" s="5" t="inlineStr">
        <is>
          <t>Voltaje de salida 5.0 V. Corriente máxima 1.2 A</t>
        </is>
      </c>
    </row>
    <row r="202">
      <c r="A202" s="4">
        <f>ROW()-4</f>
        <v/>
      </c>
      <c r="B202" s="4" t="inlineStr">
        <is>
          <t>841</t>
        </is>
      </c>
      <c r="C202" s="4" t="inlineStr">
        <is>
          <t>Cables</t>
        </is>
      </c>
      <c r="D202" s="5" t="inlineStr">
        <is>
          <t>Enchufe USB-A y C (Quick Charge)</t>
        </is>
      </c>
      <c r="E202" s="5" t="inlineStr">
        <is>
          <t>Permite cargar dispositivos mediante USB-A o USB-C con soporte de carga rápida</t>
        </is>
      </c>
      <c r="F202" s="5" t="inlineStr">
        <is>
          <t>Quick Charge 3.0</t>
        </is>
      </c>
    </row>
    <row r="203">
      <c r="A203" s="4">
        <f>ROW()-4</f>
        <v/>
      </c>
      <c r="B203" s="4" t="inlineStr">
        <is>
          <t>842</t>
        </is>
      </c>
      <c r="C203" s="4" t="inlineStr">
        <is>
          <t>Cables</t>
        </is>
      </c>
      <c r="D203" s="5" t="inlineStr">
        <is>
          <t>RY-0530</t>
        </is>
      </c>
      <c r="E203" s="5" t="inlineStr">
        <is>
          <t>Permite cargar dispositivos mediante conector micro-USB</t>
        </is>
      </c>
      <c r="F203" s="5" t="inlineStr">
        <is>
          <t>Voltaje de operación 5.0 V</t>
        </is>
      </c>
    </row>
    <row r="204">
      <c r="A204" s="4">
        <f>ROW()-4</f>
        <v/>
      </c>
      <c r="B204" s="4" t="inlineStr">
        <is>
          <t>843</t>
        </is>
      </c>
      <c r="C204" s="4" t="inlineStr">
        <is>
          <t>Cables</t>
        </is>
      </c>
      <c r="D204" s="5" t="inlineStr">
        <is>
          <t>TSY-0530</t>
        </is>
      </c>
      <c r="E204" s="5" t="inlineStr">
        <is>
          <t>Permite cargar dispositivos mediante micro-USB con control ON/OFF</t>
        </is>
      </c>
      <c r="F204" s="5" t="inlineStr">
        <is>
          <t>Voltaje de operación 5.0 V</t>
        </is>
      </c>
    </row>
    <row r="205">
      <c r="A205" s="4">
        <f>ROW()-4</f>
        <v/>
      </c>
      <c r="B205" s="4" t="inlineStr">
        <is>
          <t>844</t>
        </is>
      </c>
      <c r="C205" s="4" t="inlineStr">
        <is>
          <t>Cables</t>
        </is>
      </c>
      <c r="D205" s="5" t="inlineStr">
        <is>
          <t>USB-microUSB (largos)</t>
        </is>
      </c>
      <c r="E205" s="5" t="inlineStr">
        <is>
          <t>Permite alimentar y transferir datos entre USB y micro-USB</t>
        </is>
      </c>
      <c r="F205" s="5" t="inlineStr">
        <is>
          <t>Voltaje de operación 5.0 V</t>
        </is>
      </c>
    </row>
    <row r="206">
      <c r="A206" s="4">
        <f>ROW()-4</f>
        <v/>
      </c>
      <c r="B206" s="4" t="inlineStr">
        <is>
          <t>845</t>
        </is>
      </c>
      <c r="C206" s="4" t="inlineStr">
        <is>
          <t>Cables</t>
        </is>
      </c>
      <c r="D206" s="5" t="inlineStr">
        <is>
          <t>USB-MicroUSB (cortos)</t>
        </is>
      </c>
      <c r="E206" s="5" t="inlineStr">
        <is>
          <t>Permite alimentar y transferir datos entre USB y micro-USB en conexiones cortas</t>
        </is>
      </c>
      <c r="F206" s="5" t="inlineStr">
        <is>
          <t>Voltaje de operación 5.0 V</t>
        </is>
      </c>
    </row>
    <row r="207">
      <c r="A207" s="4">
        <f>ROW()-4</f>
        <v/>
      </c>
      <c r="B207" s="4" t="inlineStr">
        <is>
          <t>846</t>
        </is>
      </c>
      <c r="C207" s="4" t="inlineStr">
        <is>
          <t>Cables</t>
        </is>
      </c>
      <c r="D207" s="5" t="inlineStr">
        <is>
          <t>USB-TipoB</t>
        </is>
      </c>
      <c r="E207" s="5" t="inlineStr">
        <is>
          <t>Permite alimentar y transferir datos entre USB tipo A y tipo B</t>
        </is>
      </c>
      <c r="F207" s="5" t="inlineStr">
        <is>
          <t>Voltaje de operación 5.0 V</t>
        </is>
      </c>
    </row>
    <row r="208">
      <c r="A208" s="4">
        <f>ROW()-4</f>
        <v/>
      </c>
      <c r="B208" s="4" t="inlineStr">
        <is>
          <t>847</t>
        </is>
      </c>
      <c r="C208" s="4" t="inlineStr">
        <is>
          <t>Cables</t>
        </is>
      </c>
      <c r="D208" s="5" t="inlineStr">
        <is>
          <t>USB-TipoC</t>
        </is>
      </c>
      <c r="E208" s="5" t="inlineStr">
        <is>
          <t>Permite alimentar y transferir datos entre dispositivos con conector USB-C</t>
        </is>
      </c>
      <c r="F208" s="5" t="inlineStr">
        <is>
          <t>Voltaje de operación 5.0 V</t>
        </is>
      </c>
    </row>
    <row r="209">
      <c r="A209" s="4">
        <f>ROW()-4</f>
        <v/>
      </c>
      <c r="B209" s="4" t="inlineStr">
        <is>
          <t>848</t>
        </is>
      </c>
      <c r="C209" s="4" t="inlineStr">
        <is>
          <t>Cables</t>
        </is>
      </c>
      <c r="D209" s="5" t="inlineStr">
        <is>
          <t>Auxiliar</t>
        </is>
      </c>
      <c r="E209" s="5" t="inlineStr">
        <is>
          <t>Permite transmitir señales de audio analógicas</t>
        </is>
      </c>
      <c r="F209" s="5" t="inlineStr">
        <is>
          <t>Señal de audio analógica</t>
        </is>
      </c>
    </row>
    <row r="210">
      <c r="A210" s="4">
        <f>ROW()-4</f>
        <v/>
      </c>
      <c r="B210" s="4" t="inlineStr">
        <is>
          <t>849</t>
        </is>
      </c>
      <c r="C210" s="4" t="inlineStr">
        <is>
          <t>Cables</t>
        </is>
      </c>
      <c r="D210" s="5" t="inlineStr">
        <is>
          <t>USB-mini-micro-TipoB</t>
        </is>
      </c>
      <c r="E210" s="5" t="inlineStr">
        <is>
          <t>Permite alimentar y transferir datos entre conectores USB mini, micro y tipo B</t>
        </is>
      </c>
      <c r="F210" s="5" t="inlineStr">
        <is>
          <t>Voltaje de operación 5.0 V</t>
        </is>
      </c>
    </row>
    <row r="211">
      <c r="A211" s="4">
        <f>ROW()-4</f>
        <v/>
      </c>
      <c r="B211" s="4" t="inlineStr">
        <is>
          <t>850</t>
        </is>
      </c>
      <c r="C211" s="4" t="inlineStr">
        <is>
          <t>Cables</t>
        </is>
      </c>
      <c r="D211" s="5" t="inlineStr">
        <is>
          <t>VGA (hembra-hembra)</t>
        </is>
      </c>
      <c r="E211" s="5" t="inlineStr">
        <is>
          <t>Permite extender o interconectar cables VGA para señal de video analógica</t>
        </is>
      </c>
      <c r="F211" s="5" t="inlineStr">
        <is>
          <t>Señal de video analógica</t>
        </is>
      </c>
    </row>
    <row r="212">
      <c r="A212" s="4">
        <f>ROW()-4</f>
        <v/>
      </c>
      <c r="B212" s="4" t="inlineStr">
        <is>
          <t>851</t>
        </is>
      </c>
      <c r="C212" s="4" t="inlineStr">
        <is>
          <t>Cables</t>
        </is>
      </c>
      <c r="D212" s="5" t="inlineStr">
        <is>
          <t>Banana-Caimán</t>
        </is>
      </c>
      <c r="E212" s="5" t="inlineStr">
        <is>
          <t>Permite realizar conexiones temporales para pruebas y mediciones eléctricas</t>
        </is>
      </c>
      <c r="F212" s="5" t="inlineStr">
        <is>
          <t>Conectores tipo banana y caimán</t>
        </is>
      </c>
    </row>
    <row r="213">
      <c r="A213" s="4">
        <f>ROW()-4</f>
        <v/>
      </c>
      <c r="B213" s="4" t="inlineStr">
        <is>
          <t>852</t>
        </is>
      </c>
      <c r="C213" s="4" t="inlineStr">
        <is>
          <t>Robot</t>
        </is>
      </c>
      <c r="D213" s="5" t="inlineStr">
        <is>
          <t>Zumo Robot v1.2</t>
        </is>
      </c>
      <c r="E213" s="5" t="inlineStr">
        <is>
          <t>Plataforma robótica móvil para aprendizaje y experimentación</t>
        </is>
      </c>
      <c r="F213" s="5" t="inlineStr">
        <is>
          <t>Controlador integrado, motores DC, sensores básicos</t>
        </is>
      </c>
    </row>
  </sheetData>
  <mergeCells count="2">
    <mergeCell ref="A2:G2"/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14" customWidth="1" min="3" max="3"/>
  </cols>
  <sheetData>
    <row r="1">
      <c r="A1" s="1" t="inlineStr">
        <is>
          <t>Resumen por familia</t>
        </is>
      </c>
    </row>
    <row r="3">
      <c r="A3" s="3" t="inlineStr">
        <is>
          <t>Familia</t>
        </is>
      </c>
      <c r="B3" s="3" t="inlineStr">
        <is>
          <t>Cantidad de componentes</t>
        </is>
      </c>
      <c r="C3" s="3" t="inlineStr">
        <is>
          <t>% del total</t>
        </is>
      </c>
    </row>
    <row r="4">
      <c r="A4" s="6" t="inlineStr">
        <is>
          <t>Baterías</t>
        </is>
      </c>
      <c r="B4" s="6">
        <f>COUNTIF(Componentes!$C$5:$C$213,A4)</f>
        <v/>
      </c>
      <c r="C4" s="7">
        <f>B4/209</f>
        <v/>
      </c>
    </row>
    <row r="5">
      <c r="A5" s="6" t="inlineStr">
        <is>
          <t>Bomba</t>
        </is>
      </c>
      <c r="B5" s="6">
        <f>COUNTIF(Componentes!$C$5:$C$213,A5)</f>
        <v/>
      </c>
      <c r="C5" s="7">
        <f>B5/209</f>
        <v/>
      </c>
    </row>
    <row r="6">
      <c r="A6" s="6" t="inlineStr">
        <is>
          <t>Cables</t>
        </is>
      </c>
      <c r="B6" s="6">
        <f>COUNTIF(Componentes!$C$5:$C$213,A6)</f>
        <v/>
      </c>
      <c r="C6" s="7">
        <f>B6/209</f>
        <v/>
      </c>
    </row>
    <row r="7">
      <c r="A7" s="6" t="inlineStr">
        <is>
          <t>Celda de carga</t>
        </is>
      </c>
      <c r="B7" s="6">
        <f>COUNTIF(Componentes!$C$5:$C$213,A7)</f>
        <v/>
      </c>
      <c r="C7" s="7">
        <f>B7/209</f>
        <v/>
      </c>
    </row>
    <row r="8">
      <c r="A8" s="6" t="inlineStr">
        <is>
          <t>Componentes</t>
        </is>
      </c>
      <c r="B8" s="6">
        <f>COUNTIF(Componentes!$C$5:$C$213,A8)</f>
        <v/>
      </c>
      <c r="C8" s="7">
        <f>B8/209</f>
        <v/>
      </c>
    </row>
    <row r="9">
      <c r="A9" s="6" t="inlineStr">
        <is>
          <t>Kit</t>
        </is>
      </c>
      <c r="B9" s="6">
        <f>COUNTIF(Componentes!$C$5:$C$213,A9)</f>
        <v/>
      </c>
      <c r="C9" s="7">
        <f>B9/209</f>
        <v/>
      </c>
    </row>
    <row r="10">
      <c r="A10" s="6" t="inlineStr">
        <is>
          <t>Motor</t>
        </is>
      </c>
      <c r="B10" s="6">
        <f>COUNTIF(Componentes!$C$5:$C$213,A10)</f>
        <v/>
      </c>
      <c r="C10" s="7">
        <f>B10/209</f>
        <v/>
      </c>
    </row>
    <row r="11">
      <c r="A11" s="6" t="inlineStr">
        <is>
          <t>Módulo</t>
        </is>
      </c>
      <c r="B11" s="6">
        <f>COUNTIF(Componentes!$C$5:$C$213,A11)</f>
        <v/>
      </c>
      <c r="C11" s="7">
        <f>B11/209</f>
        <v/>
      </c>
    </row>
    <row r="12">
      <c r="A12" s="6" t="inlineStr">
        <is>
          <t>Placas</t>
        </is>
      </c>
      <c r="B12" s="6">
        <f>COUNTIF(Componentes!$C$5:$C$213,A12)</f>
        <v/>
      </c>
      <c r="C12" s="7">
        <f>B12/209</f>
        <v/>
      </c>
    </row>
    <row r="13">
      <c r="A13" s="6" t="inlineStr">
        <is>
          <t>Prototipado</t>
        </is>
      </c>
      <c r="B13" s="6">
        <f>COUNTIF(Componentes!$C$5:$C$213,A13)</f>
        <v/>
      </c>
      <c r="C13" s="7">
        <f>B13/209</f>
        <v/>
      </c>
    </row>
    <row r="14">
      <c r="A14" s="6" t="inlineStr">
        <is>
          <t>Robot</t>
        </is>
      </c>
      <c r="B14" s="6">
        <f>COUNTIF(Componentes!$C$5:$C$213,A14)</f>
        <v/>
      </c>
      <c r="C14" s="7">
        <f>B14/209</f>
        <v/>
      </c>
    </row>
    <row r="15">
      <c r="A15" s="6" t="inlineStr">
        <is>
          <t>Sensores</t>
        </is>
      </c>
      <c r="B15" s="6">
        <f>COUNTIF(Componentes!$C$5:$C$213,A15)</f>
        <v/>
      </c>
      <c r="C15" s="7">
        <f>B15/209</f>
        <v/>
      </c>
    </row>
    <row r="16">
      <c r="A16" s="8" t="inlineStr">
        <is>
          <t>Total</t>
        </is>
      </c>
      <c r="B16" s="8">
        <f>SUM(B4:B15)</f>
        <v/>
      </c>
      <c r="C16" s="9">
        <f>SUM(C4:C15)</f>
        <v/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2026-09-25T13:32:35Z</dcterms:created>
  <dcterms:modified xmlns:dcterms="http://purl.org/dc/terms/" xmlns:xsi="http://www.w3.org/2001/XMLSchema-instance" xsi:type="dcterms:W3CDTF">2026-09-25T13:32:35Z</dcterms:modified>
</cp:coreProperties>
</file>